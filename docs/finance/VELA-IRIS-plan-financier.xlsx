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gue\Downloads\startup\iris\docs\finance\"/>
    </mc:Choice>
  </mc:AlternateContent>
  <xr:revisionPtr revIDLastSave="0" documentId="13_ncr:1_{B336AE46-2820-48F8-B5E3-C2593CE0A6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isez-moi" sheetId="1" r:id="rId1"/>
    <sheet name="Hypothèses" sheetId="2" r:id="rId2"/>
    <sheet name="Coût lunettes" sheetId="3" r:id="rId3"/>
    <sheet name="Coût API par utilisateur" sheetId="4" r:id="rId4"/>
    <sheet name="Abonnements" sheetId="5" r:id="rId5"/>
    <sheet name="Projection 12 moi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6" l="1"/>
  <c r="L19" i="6"/>
  <c r="K19" i="6"/>
  <c r="J19" i="6"/>
  <c r="I19" i="6"/>
  <c r="H19" i="6"/>
  <c r="G19" i="6"/>
  <c r="F19" i="6"/>
  <c r="E19" i="6"/>
  <c r="D19" i="6"/>
  <c r="C19" i="6"/>
  <c r="B19" i="6"/>
  <c r="M17" i="6"/>
  <c r="L17" i="6"/>
  <c r="K17" i="6"/>
  <c r="J17" i="6"/>
  <c r="I17" i="6"/>
  <c r="H17" i="6"/>
  <c r="G17" i="6"/>
  <c r="F17" i="6"/>
  <c r="E17" i="6"/>
  <c r="D17" i="6"/>
  <c r="C17" i="6"/>
  <c r="B17" i="6"/>
  <c r="M15" i="6"/>
  <c r="L15" i="6"/>
  <c r="K15" i="6"/>
  <c r="J15" i="6"/>
  <c r="I15" i="6"/>
  <c r="H15" i="6"/>
  <c r="G15" i="6"/>
  <c r="F15" i="6"/>
  <c r="E15" i="6"/>
  <c r="D15" i="6"/>
  <c r="C15" i="6"/>
  <c r="B15" i="6"/>
  <c r="N10" i="6"/>
  <c r="E5" i="6"/>
  <c r="B18" i="5"/>
  <c r="B16" i="5"/>
  <c r="E14" i="5"/>
  <c r="D14" i="5"/>
  <c r="C14" i="5"/>
  <c r="B14" i="5"/>
  <c r="E6" i="5"/>
  <c r="D6" i="5"/>
  <c r="C6" i="5"/>
  <c r="B6" i="5"/>
  <c r="D5" i="4"/>
  <c r="C5" i="4"/>
  <c r="B5" i="4"/>
  <c r="B41" i="3"/>
  <c r="C41" i="3" s="1"/>
  <c r="A41" i="3"/>
  <c r="B40" i="3"/>
  <c r="C40" i="3" s="1"/>
  <c r="A40" i="3"/>
  <c r="B39" i="3"/>
  <c r="C39" i="3" s="1"/>
  <c r="A39" i="3"/>
  <c r="B38" i="3"/>
  <c r="C38" i="3" s="1"/>
  <c r="A38" i="3"/>
  <c r="B37" i="3"/>
  <c r="C37" i="3" s="1"/>
  <c r="A37" i="3"/>
  <c r="B29" i="3"/>
  <c r="E14" i="3"/>
  <c r="D14" i="3"/>
  <c r="C14" i="3"/>
  <c r="B14" i="3"/>
  <c r="E10" i="3"/>
  <c r="D10" i="3"/>
  <c r="C10" i="3"/>
  <c r="B10" i="3"/>
  <c r="E8" i="3"/>
  <c r="D8" i="3"/>
  <c r="C8" i="3"/>
  <c r="B8" i="3"/>
  <c r="E6" i="3"/>
  <c r="D6" i="3"/>
  <c r="C6" i="3"/>
  <c r="B6" i="3"/>
  <c r="E5" i="3"/>
  <c r="E7" i="3" s="1"/>
  <c r="D5" i="3"/>
  <c r="D7" i="3" s="1"/>
  <c r="C5" i="3"/>
  <c r="C7" i="3" s="1"/>
  <c r="B5" i="3"/>
  <c r="C80" i="2"/>
  <c r="C79" i="2"/>
  <c r="C78" i="2"/>
  <c r="C77" i="2"/>
  <c r="C76" i="2"/>
  <c r="B56" i="2"/>
  <c r="B55" i="2"/>
  <c r="B75" i="2" s="1"/>
  <c r="C75" i="2" s="1"/>
  <c r="C83" i="2" s="1"/>
  <c r="D53" i="2"/>
  <c r="D52" i="2"/>
  <c r="B57" i="2" s="1"/>
  <c r="D51" i="2"/>
  <c r="D50" i="2"/>
  <c r="D49" i="2"/>
  <c r="D48" i="2"/>
  <c r="D43" i="2"/>
  <c r="D42" i="2"/>
  <c r="D41" i="2"/>
  <c r="D40" i="2"/>
  <c r="D39" i="2"/>
  <c r="D38" i="2"/>
  <c r="D37" i="2"/>
  <c r="D36" i="2"/>
  <c r="D35" i="2"/>
  <c r="D34" i="2"/>
  <c r="B20" i="6" l="1"/>
  <c r="C20" i="6" s="1"/>
  <c r="D20" i="6" s="1"/>
  <c r="E20" i="6" s="1"/>
  <c r="F20" i="6" s="1"/>
  <c r="G20" i="6" s="1"/>
  <c r="H20" i="6" s="1"/>
  <c r="I20" i="6" s="1"/>
  <c r="J20" i="6" s="1"/>
  <c r="K20" i="6" s="1"/>
  <c r="L20" i="6" s="1"/>
  <c r="M20" i="6" s="1"/>
  <c r="N20" i="6" s="1"/>
  <c r="N19" i="6"/>
  <c r="B18" i="6"/>
  <c r="C18" i="6" s="1"/>
  <c r="D18" i="6" s="1"/>
  <c r="E18" i="6" s="1"/>
  <c r="F18" i="6" s="1"/>
  <c r="G18" i="6" s="1"/>
  <c r="H18" i="6" s="1"/>
  <c r="I18" i="6" s="1"/>
  <c r="J18" i="6" s="1"/>
  <c r="K18" i="6" s="1"/>
  <c r="L18" i="6" s="1"/>
  <c r="M18" i="6" s="1"/>
  <c r="N18" i="6" s="1"/>
  <c r="N17" i="6"/>
  <c r="N15" i="6"/>
  <c r="B16" i="6"/>
  <c r="D30" i="4"/>
  <c r="D31" i="4" s="1"/>
  <c r="D23" i="4"/>
  <c r="D8" i="4"/>
  <c r="D7" i="4"/>
  <c r="D6" i="4"/>
  <c r="C30" i="4"/>
  <c r="C31" i="4" s="1"/>
  <c r="C23" i="4"/>
  <c r="C8" i="4"/>
  <c r="C7" i="4"/>
  <c r="C6" i="4"/>
  <c r="B23" i="4"/>
  <c r="B30" i="4"/>
  <c r="B31" i="4" s="1"/>
  <c r="B8" i="4"/>
  <c r="B7" i="4"/>
  <c r="B6" i="4"/>
  <c r="E11" i="3"/>
  <c r="E9" i="3"/>
  <c r="E12" i="3" s="1"/>
  <c r="E13" i="3" s="1"/>
  <c r="D11" i="3"/>
  <c r="D9" i="3"/>
  <c r="D12" i="3" s="1"/>
  <c r="D13" i="3" s="1"/>
  <c r="C11" i="3"/>
  <c r="C9" i="3"/>
  <c r="C12" i="3" s="1"/>
  <c r="C13" i="3" s="1"/>
  <c r="B11" i="3"/>
  <c r="B9" i="3"/>
  <c r="B7" i="3"/>
  <c r="B12" i="3" s="1"/>
  <c r="B13" i="3" s="1"/>
  <c r="B29" i="6"/>
  <c r="C29" i="6"/>
  <c r="D29" i="6"/>
  <c r="E29" i="6"/>
  <c r="F29" i="6"/>
  <c r="G29" i="6"/>
  <c r="H29" i="6"/>
  <c r="I29" i="6"/>
  <c r="J29" i="6"/>
  <c r="K29" i="6"/>
  <c r="L29" i="6"/>
  <c r="M29" i="6"/>
  <c r="C16" i="6" l="1"/>
  <c r="B21" i="6"/>
  <c r="B22" i="6"/>
  <c r="D24" i="4"/>
  <c r="D26" i="4"/>
  <c r="D11" i="4"/>
  <c r="D34" i="4" s="1"/>
  <c r="D12" i="4"/>
  <c r="D13" i="4"/>
  <c r="D14" i="4"/>
  <c r="D15" i="4"/>
  <c r="D16" i="4"/>
  <c r="D17" i="4"/>
  <c r="D18" i="4"/>
  <c r="D19" i="4"/>
  <c r="D20" i="4"/>
  <c r="C24" i="4"/>
  <c r="C26" i="4"/>
  <c r="C11" i="4"/>
  <c r="C34" i="4" s="1"/>
  <c r="C12" i="4"/>
  <c r="C13" i="4"/>
  <c r="C14" i="4"/>
  <c r="C15" i="4"/>
  <c r="C16" i="4"/>
  <c r="C17" i="4"/>
  <c r="C18" i="4"/>
  <c r="C19" i="4"/>
  <c r="C20" i="4"/>
  <c r="B24" i="4"/>
  <c r="B26" i="4"/>
  <c r="B11" i="4"/>
  <c r="B34" i="4" s="1"/>
  <c r="B13" i="5" s="1"/>
  <c r="B12" i="4"/>
  <c r="B13" i="4"/>
  <c r="B14" i="4"/>
  <c r="B15" i="4"/>
  <c r="B16" i="4"/>
  <c r="B17" i="4"/>
  <c r="B18" i="4"/>
  <c r="B19" i="4"/>
  <c r="B20" i="4"/>
  <c r="E15" i="3"/>
  <c r="E18" i="3" s="1"/>
  <c r="E19" i="3" s="1"/>
  <c r="E26" i="3"/>
  <c r="D15" i="3"/>
  <c r="D18" i="3" s="1"/>
  <c r="D19" i="3" s="1"/>
  <c r="D26" i="3"/>
  <c r="C15" i="3"/>
  <c r="C26" i="3"/>
  <c r="B37" i="6" s="1"/>
  <c r="B15" i="3"/>
  <c r="B18" i="3" s="1"/>
  <c r="B19" i="3" s="1"/>
  <c r="B26" i="3"/>
  <c r="N29" i="6"/>
  <c r="D16" i="6" l="1"/>
  <c r="C21" i="6"/>
  <c r="C22" i="6"/>
  <c r="B24" i="6"/>
  <c r="D25" i="4"/>
  <c r="D27" i="4"/>
  <c r="C25" i="4"/>
  <c r="C35" i="4" s="1"/>
  <c r="C13" i="5" s="1"/>
  <c r="C27" i="4"/>
  <c r="B25" i="4"/>
  <c r="B27" i="4"/>
  <c r="B15" i="5"/>
  <c r="B17" i="5"/>
  <c r="E20" i="3"/>
  <c r="E21" i="3"/>
  <c r="E22" i="3"/>
  <c r="E23" i="3"/>
  <c r="E24" i="3"/>
  <c r="E25" i="3"/>
  <c r="D20" i="3"/>
  <c r="D21" i="3"/>
  <c r="D22" i="3"/>
  <c r="D23" i="3"/>
  <c r="D24" i="3"/>
  <c r="D25" i="3"/>
  <c r="B31" i="3"/>
  <c r="C18" i="3"/>
  <c r="C19" i="3" s="1"/>
  <c r="B20" i="3"/>
  <c r="B21" i="3"/>
  <c r="B22" i="3"/>
  <c r="B23" i="3"/>
  <c r="B24" i="3"/>
  <c r="B25" i="3"/>
  <c r="D35" i="4"/>
  <c r="B35" i="4"/>
  <c r="E16" i="6" l="1"/>
  <c r="D21" i="6"/>
  <c r="D22" i="6"/>
  <c r="C24" i="6"/>
  <c r="D37" i="4"/>
  <c r="E13" i="5" s="1"/>
  <c r="D36" i="4"/>
  <c r="C37" i="4"/>
  <c r="C36" i="4"/>
  <c r="D13" i="5" s="1"/>
  <c r="B37" i="4"/>
  <c r="B36" i="4"/>
  <c r="C23" i="5"/>
  <c r="C22" i="5"/>
  <c r="B30" i="3"/>
  <c r="C20" i="3"/>
  <c r="C21" i="3"/>
  <c r="C22" i="3"/>
  <c r="C23" i="3"/>
  <c r="C24" i="3"/>
  <c r="C17" i="5"/>
  <c r="C18" i="5" s="1"/>
  <c r="C15" i="5"/>
  <c r="C16" i="5" s="1"/>
  <c r="D23" i="6" l="1"/>
  <c r="B23" i="6"/>
  <c r="C24" i="5"/>
  <c r="B32" i="3"/>
  <c r="B35" i="6" s="1"/>
  <c r="C25" i="3"/>
  <c r="F16" i="6"/>
  <c r="E21" i="6"/>
  <c r="E22" i="6"/>
  <c r="E23" i="6"/>
  <c r="D24" i="6"/>
  <c r="D25" i="6"/>
  <c r="E17" i="5"/>
  <c r="E18" i="5" s="1"/>
  <c r="E15" i="5"/>
  <c r="E16" i="5" s="1"/>
  <c r="C23" i="6"/>
  <c r="C25" i="6" s="1"/>
  <c r="D17" i="5"/>
  <c r="D18" i="5" s="1"/>
  <c r="D15" i="5"/>
  <c r="M11" i="6"/>
  <c r="L11" i="6"/>
  <c r="K11" i="6"/>
  <c r="J11" i="6"/>
  <c r="I11" i="6"/>
  <c r="H11" i="6"/>
  <c r="G11" i="6"/>
  <c r="F11" i="6"/>
  <c r="E11" i="6"/>
  <c r="D11" i="6"/>
  <c r="C11" i="6"/>
  <c r="B11" i="6"/>
  <c r="B24" i="5"/>
  <c r="D24" i="5" s="1"/>
  <c r="B23" i="5"/>
  <c r="D23" i="5" s="1"/>
  <c r="B22" i="5"/>
  <c r="D22" i="5" s="1"/>
  <c r="C42" i="3"/>
  <c r="B42" i="3"/>
  <c r="B33" i="3"/>
  <c r="D41" i="3"/>
  <c r="D40" i="3"/>
  <c r="D39" i="3"/>
  <c r="D38" i="3"/>
  <c r="D37" i="3"/>
  <c r="B25" i="6"/>
  <c r="M12" i="6"/>
  <c r="L12" i="6"/>
  <c r="K12" i="6"/>
  <c r="J12" i="6"/>
  <c r="I12" i="6"/>
  <c r="H12" i="6"/>
  <c r="G12" i="6"/>
  <c r="F12" i="6"/>
  <c r="E12" i="6"/>
  <c r="D12" i="6"/>
  <c r="C12" i="6"/>
  <c r="B12" i="6"/>
  <c r="N12" i="6" s="1"/>
  <c r="G16" i="6" l="1"/>
  <c r="F21" i="6"/>
  <c r="F22" i="6"/>
  <c r="F27" i="6" s="1"/>
  <c r="F23" i="6"/>
  <c r="E24" i="6"/>
  <c r="E25" i="6"/>
  <c r="D16" i="5"/>
  <c r="B36" i="6"/>
  <c r="M13" i="6"/>
  <c r="L13" i="6"/>
  <c r="K13" i="6"/>
  <c r="J13" i="6"/>
  <c r="I13" i="6"/>
  <c r="H13" i="6"/>
  <c r="G13" i="6"/>
  <c r="F13" i="6"/>
  <c r="E13" i="6"/>
  <c r="E27" i="6"/>
  <c r="D13" i="6"/>
  <c r="D28" i="6" s="1"/>
  <c r="D30" i="6" s="1"/>
  <c r="D27" i="6"/>
  <c r="C13" i="6"/>
  <c r="C28" i="6" s="1"/>
  <c r="C30" i="6" s="1"/>
  <c r="C27" i="6"/>
  <c r="N11" i="6"/>
  <c r="B13" i="6"/>
  <c r="B27" i="6"/>
  <c r="E28" i="6" l="1"/>
  <c r="E30" i="6" s="1"/>
  <c r="H16" i="6"/>
  <c r="G21" i="6"/>
  <c r="G22" i="6"/>
  <c r="G23" i="6"/>
  <c r="F24" i="6"/>
  <c r="F25" i="6" s="1"/>
  <c r="N13" i="6"/>
  <c r="B28" i="6"/>
  <c r="I16" i="6" l="1"/>
  <c r="H21" i="6"/>
  <c r="H22" i="6"/>
  <c r="H23" i="6"/>
  <c r="G27" i="6"/>
  <c r="G24" i="6"/>
  <c r="G25" i="6" s="1"/>
  <c r="G28" i="6" s="1"/>
  <c r="G30" i="6" s="1"/>
  <c r="F28" i="6"/>
  <c r="F30" i="6" s="1"/>
  <c r="B30" i="6"/>
  <c r="J16" i="6" l="1"/>
  <c r="I21" i="6"/>
  <c r="I22" i="6"/>
  <c r="I23" i="6"/>
  <c r="H27" i="6"/>
  <c r="H24" i="6"/>
  <c r="H25" i="6"/>
  <c r="B31" i="6"/>
  <c r="C31" i="6" s="1"/>
  <c r="D31" i="6" s="1"/>
  <c r="E31" i="6" s="1"/>
  <c r="F31" i="6" s="1"/>
  <c r="G31" i="6" s="1"/>
  <c r="B34" i="6"/>
  <c r="K16" i="6" l="1"/>
  <c r="J21" i="6"/>
  <c r="J22" i="6"/>
  <c r="J23" i="6"/>
  <c r="I27" i="6"/>
  <c r="I24" i="6"/>
  <c r="I25" i="6" s="1"/>
  <c r="I28" i="6" s="1"/>
  <c r="I30" i="6" s="1"/>
  <c r="H28" i="6"/>
  <c r="L16" i="6" l="1"/>
  <c r="K21" i="6"/>
  <c r="K22" i="6"/>
  <c r="K23" i="6"/>
  <c r="J27" i="6"/>
  <c r="J24" i="6"/>
  <c r="J25" i="6"/>
  <c r="H30" i="6"/>
  <c r="M16" i="6" l="1"/>
  <c r="L21" i="6"/>
  <c r="L22" i="6"/>
  <c r="L23" i="6"/>
  <c r="K27" i="6"/>
  <c r="K24" i="6"/>
  <c r="K25" i="6" s="1"/>
  <c r="K28" i="6" s="1"/>
  <c r="K30" i="6" s="1"/>
  <c r="J28" i="6"/>
  <c r="H31" i="6"/>
  <c r="I31" i="6" s="1"/>
  <c r="N16" i="6" l="1"/>
  <c r="M21" i="6"/>
  <c r="N21" i="6" s="1"/>
  <c r="M22" i="6"/>
  <c r="M23" i="6"/>
  <c r="N23" i="6" s="1"/>
  <c r="N22" i="6"/>
  <c r="L27" i="6"/>
  <c r="L24" i="6"/>
  <c r="L25" i="6"/>
  <c r="J30" i="6"/>
  <c r="M27" i="6" l="1"/>
  <c r="N27" i="6" s="1"/>
  <c r="M24" i="6"/>
  <c r="B38" i="6"/>
  <c r="L28" i="6"/>
  <c r="J31" i="6"/>
  <c r="K31" i="6" s="1"/>
  <c r="N24" i="6" l="1"/>
  <c r="M25" i="6"/>
  <c r="L30" i="6"/>
  <c r="N25" i="6" l="1"/>
  <c r="M28" i="6"/>
  <c r="L31" i="6"/>
  <c r="N28" i="6" l="1"/>
  <c r="M30" i="6"/>
  <c r="N30" i="6" l="1"/>
  <c r="M31" i="6"/>
  <c r="N31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IRIS</author>
  </authors>
  <commentList>
    <comment ref="F23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Remise appliquée aux 12 mois d'abonnement dans l'offre groupée.</t>
        </r>
      </text>
    </comment>
  </commentList>
</comments>
</file>

<file path=xl/sharedStrings.xml><?xml version="1.0" encoding="utf-8"?>
<sst xmlns="http://schemas.openxmlformats.org/spreadsheetml/2006/main" count="364" uniqueCount="324">
  <si>
    <t>VELA / IRIS — Plan financier : prix des lunettes et plans d'abonnement</t>
  </si>
  <si>
    <t>Version du 2 septembre 2026. Devise : dollars canadiens (CAD) sauf mention US$. Prix hors taxes (TPS/TVQ calculées à part).</t>
  </si>
  <si>
    <t>COMMENT LIRE LE CLASSEUR</t>
  </si>
  <si>
    <t>• Texte bleu = valeur à saisir. Fond jaune = levier clé qui change tout le modèle (taux de change, prix OEM, marge cible, prix des plans, ventes mensuelles).</t>
  </si>
  <si>
    <t>• Texte noir = formule. Texte vert = renvoi vers une autre feuille. Ne pas écraser les formules.</t>
  </si>
  <si>
    <t>• Feuille Hypothèses : toutes les entrées, avec source ou mention « hypothèse ». Feuille Coût lunettes : coût de revient par palier OEM et prix public recommandé.</t>
  </si>
  <si>
    <t>• Feuille Coût API par utilisateur : ce qu'un abonné coûte réellement en ElevenLabs, Gemini, OpenAI et Claude selon son usage.</t>
  </si>
  <si>
    <t>• Feuille Abonnements : plans GRATUIT / ESSENTIEL / PRO / ULTRA, marge par abonné, pire cas au quota, offres groupées.</t>
  </si>
  <si>
    <t>• Feuille Projection 12 mois : ventes, abonnés, résultat et trésorerie mois par mois, seuil de rentabilité.</t>
  </si>
  <si>
    <t>CE QUI EST VÉRIFIÉ (2 septembre 2026)</t>
  </si>
  <si>
    <t>• ElevenLabs : Free 10 000 crédits ; Starter 6 US$ / 30 000 ; Creator 22 US$ / 121 000 ; Pro 99 US$ / 600 000 ; Scale 299 US$ / 1,8 M ; Business 990 US$ / 6 M. Flash v2.5 = 0,5 crédit par caractère. (elevenlabs.io/pricing)</t>
  </si>
  <si>
    <t>• Gemini API : 2.5 Flash 0,30 / 2,50 US$ par M jetons ; 3.7 Flash 0,75 / 3,75 (double au 1er janvier 2027) ; 2.5 Pro 1,25 / 10. (ai.google.dev/gemini-api/docs/pricing)</t>
  </si>
  <si>
    <t>• OpenAI API : GPT-5 mini 0,25 / 2,00 ; GPT-5 1,25 / 10. (openai.com/api/pricing via pricepertoken.com, cloudzero.com)</t>
  </si>
  <si>
    <t>• Anthropic API : Haiku 4.5 1 / 5 ; Sonnet 5 2 / 10 ; Opus 5 5 / 25 ; Fable 5.1 10 / 50. (référence tarifaire Anthropic, cache du 24 juin 2026)</t>
  </si>
  <si>
    <t>• Abonnements grand public : ChatGPT Plus 20 US$, Claude Pro 20 US$ (Max 100/200), Google AI Pro 19,99 US$. Ils servent au développement, pas à revendre l'accès aux clients.</t>
  </si>
  <si>
    <t>• Concurrence : Meta Glasses 299 US$ (juin 2026), Ray-Ban Meta 379 US$, Ray-Ban Display 799 US$, Snap Specs 2 195 US$.</t>
  </si>
  <si>
    <t>CE QUI EST UNE HYPOTHÈSE À CONFIRMER</t>
  </si>
  <si>
    <t>• Prix OEM du K900 (145 → 95 US$ selon volume) : SmartXY n'affiche pas de prix ; envoyer la RFQ (Partie 10 du cahier des charges) et remplacer la ligne dans Hypothèses §2.</t>
  </si>
  <si>
    <t>• Frais non récurrents (15 000 US$), fret, douane (5 %), garantie (4 %), retours (3 %) : ordres de grandeur prudents.</t>
  </si>
  <si>
    <t>• Profils d'usage (requêtes/jour, jetons, caractères) : à recaler après 1 mois de données réelles d'IRIS (journal des conversations et compteur ElevenLabs).</t>
  </si>
  <si>
    <t>• Reconnaissance vocale cloud 0,016 US$/min : à vérifier ; par défaut IRIS utilise Vosk hors-ligne (gratuit).</t>
  </si>
  <si>
    <t>• Le modèle ne couvre ni l'impôt, ni l'inflation, ni la TVQ/TPS à remettre, ni le coût de l'application mobile (Phase 2).</t>
  </si>
  <si>
    <t>RECOMMANDATIONS CLÉS (voir les feuilles pour les chiffres calculés)</t>
  </si>
  <si>
    <t>1. Fixer le prix public des lunettes sur le palier 500 unités et viser 45 % de marge brute : cela place VELA entre les Meta Glasses (299 US$) et les Ray-Ban Meta (379 US$).</t>
  </si>
  <si>
    <t>2. Le plan PRO (29,99 CAD ≈ 22 US$) est le cœur de l'offre : au repère des 20 US$ des assistants IA, avec Claude Sonnet 5 et ElevenLabs. ESSENTIEL (19,99) couvre la voix ElevenLabs avec Gemini/GPT mini ; ULTRA (99,99) absorbe les gros consommateurs d'Opus 5.</t>
  </si>
  <si>
    <t>2b. La voix ElevenLabs est le premier coût variable (≈ 0,17 US$ par 1 000 crédits, soit ≈ 11–12 CAD/mois pour un usage moyen) — bien plus que le modèle de langage. Si la marge d'ESSENTIEL est trop faible, basculer ce plan sur une voix moins chère (ligne « Voix alternative » dans Hypothèses) ou réduire la longueur des réponses vocales.</t>
  </si>
  <si>
    <t>3. Souscrire ElevenLabs Creator au démarrage, passer à Scale dès ~40 abonnés payants (la feuille Coût API indique combien d'utilisateurs chaque plan couvre).</t>
  </si>
  <si>
    <t>4. Coder les quotas mensuels dans IRIS (ligne « Quota » de la feuille Abonnements) : c'est ce qui garantit une marge positive même au pire cas.</t>
  </si>
  <si>
    <t>5. Ne pas commander 500 unités avant validation du MVP sur échantillons (cahier des charges, Partie 10) ; le capital à immobiliser par palier est calculé dans Coût lunettes.</t>
  </si>
  <si>
    <t>VELA / IRIS — Hypothèses (toutes les entrées modifiables sont en bleu ; fond jaune = levier clé)</t>
  </si>
  <si>
    <t>1. Général</t>
  </si>
  <si>
    <t>Paramètre</t>
  </si>
  <si>
    <t>Valeur</t>
  </si>
  <si>
    <t>Source / note</t>
  </si>
  <si>
    <t>Taux de change USD → CAD</t>
  </si>
  <si>
    <t>Hypothèse (Banque du Canada, ~1,36 en 2026). Tous les prix affichés en CAD sauf mention US$.</t>
  </si>
  <si>
    <t>Taxes de vente Québec (TPS 5 % + TVQ 9,975 %)</t>
  </si>
  <si>
    <t>Revenu Québec. Les prix du modèle sont hors taxes ; le prix TTC est calculé à titre indicatif.</t>
  </si>
  <si>
    <t>Frais de paiement Stripe — % du montant</t>
  </si>
  <si>
    <t>Stripe Canada : 2,9 % + 0,30 $ par transaction (cartes canadiennes).</t>
  </si>
  <si>
    <t>Frais de paiement Stripe — fixe par transaction (CAD)</t>
  </si>
  <si>
    <t>Palier de volume retenu pour le prix de vente (100 / 500 / 1000 / 5000)</t>
  </si>
  <si>
    <t>Le prix public est fixé sur ce palier ; la marge réelle s'améliore avec le volume.</t>
  </si>
  <si>
    <t>Marge brute cible sur les lunettes (hors abonnement)</t>
  </si>
  <si>
    <t>Standard électronique grand public : 35–50 %. Meta vend les Ray-Ban Meta ~379 US$ pour un coût matière estimé ~150 US$.</t>
  </si>
  <si>
    <t>2. Matériel — lunettes K900 (SmartXY) — coûts unitaires</t>
  </si>
  <si>
    <t>Poste</t>
  </si>
  <si>
    <t>100 unités</t>
  </si>
  <si>
    <t>500 unités</t>
  </si>
  <si>
    <t>1 000 unités</t>
  </si>
  <si>
    <t>5 000 unités</t>
  </si>
  <si>
    <t>Prix OEM K900 par unité (US$)</t>
  </si>
  <si>
    <t>HYPOTHÈSE À REMPLACER par le devis SmartXY (RFQ, Partie 10 du cahier des charges). Fourchette Alibaba 2026 pour des lunettes caméra 13 MP + audio : 45–205 US$ selon chipset ; le K900 (Android, MTK + BES, Sony 13 MP, 5 micros) se situe dans le haut de la fourchette.</t>
  </si>
  <si>
    <t>Quantité du palier</t>
  </si>
  <si>
    <t>Frais non récurrents OEM : firmware, logo, packaging (US$, total)</t>
  </si>
  <si>
    <t>Hypothèse : personnalisation firmware (voyant, déclic sonore), gravure VELA, boîte. Amorti sur les unités du palier.</t>
  </si>
  <si>
    <t>Fret + assurance par unité (US$)</t>
  </si>
  <si>
    <t>Hypothèse : fret aérien groupé Shenzhen → Montréal, ~300 g emballé.</t>
  </si>
  <si>
    <t>Droits de douane et courtage (% du prix OEM)</t>
  </si>
  <si>
    <t>Hypothèse prudente. Vérifier le code SH (9004 lunettes vs 8525 caméras) auprès de l'ASFC ; certains codes sont à 0 %.</t>
  </si>
  <si>
    <t>Emballage de vente + étui + câble (US$)</t>
  </si>
  <si>
    <t>Réserve garantie 1 an (% du prix OEM)</t>
  </si>
  <si>
    <t>Hypothèse : 4 % de taux de défaut couvert par remplacement.</t>
  </si>
  <si>
    <t>Préparation + expédition au client (CAD)</t>
  </si>
  <si>
    <t>Postes Canada / Purolator colis léger au Québec, étiquette + main-d'œuvre.</t>
  </si>
  <si>
    <t>Retours et remboursements (% des ventes)</t>
  </si>
  <si>
    <t>3. Repères de prix concurrents (prix public, US$ hors taxes)</t>
  </si>
  <si>
    <t>Produit</t>
  </si>
  <si>
    <t>Prix US$</t>
  </si>
  <si>
    <t>Source</t>
  </si>
  <si>
    <t>Meta Glasses (sans marque Ray-Ban, juin 2026)</t>
  </si>
  <si>
    <t>CNBC, 23 juin 2026 — cnbc.com/2026/06/23/meta-glasses-are-new-smart-glasses-starting-at-299.html</t>
  </si>
  <si>
    <t>Ray-Ban Meta (Gen 2/3)</t>
  </si>
  <si>
    <t>TechCrunch, 31 mars 2026 — 'begin at $379'</t>
  </si>
  <si>
    <t>Ray-Ban Meta prescription (optique)</t>
  </si>
  <si>
    <t>TechCrunch, 31 mars 2026</t>
  </si>
  <si>
    <t>Meta Ray-Ban Display (avec écran)</t>
  </si>
  <si>
    <t>Meta.com / TechCrunch</t>
  </si>
  <si>
    <t>Snap Specs (AR, autonome)</t>
  </si>
  <si>
    <t>Tom's Guide 2026 — précommande</t>
  </si>
  <si>
    <t>4. Prix des API (US$ par million de jetons) — modèles réellement câblés dans IRIS</t>
  </si>
  <si>
    <t>Modèle</t>
  </si>
  <si>
    <t>Entrée</t>
  </si>
  <si>
    <t>Sortie</t>
  </si>
  <si>
    <t>Vision (image)</t>
  </si>
  <si>
    <t>Source (vérifié le 2 sept. 2026)</t>
  </si>
  <si>
    <t>OpenRouter — minimax/minimax-m3:free (défaut IRIS)</t>
  </si>
  <si>
    <t>OpenRouter, palier gratuit (limites de débit, bascule automatique). Aucun coût mais aucune garantie de disponibilité.</t>
  </si>
  <si>
    <t>Google Gemini 2.5 Flash</t>
  </si>
  <si>
    <t>ai.google.dev/gemini-api/docs/pricing — modèle par défaut du connecteur Gemini d'IRIS.</t>
  </si>
  <si>
    <t>Google Gemini 3.7 Flash</t>
  </si>
  <si>
    <t>ai.google.dev — DOUBLE au 1er janvier 2027 (1,50 / 7,50).</t>
  </si>
  <si>
    <t>Google Gemini 2.5 Pro</t>
  </si>
  <si>
    <t>ai.google.dev — prompts ≤ 200k jetons.</t>
  </si>
  <si>
    <t>OpenAI GPT-5 mini</t>
  </si>
  <si>
    <t>openai.com/api/pricing (via pricepertoken.com) — défaut du connecteur GPT d'IRIS.</t>
  </si>
  <si>
    <t>OpenAI GPT-5</t>
  </si>
  <si>
    <t>openai.com/api/pricing (via cloudzero.com).</t>
  </si>
  <si>
    <t>Anthropic Claude Haiku 4.5</t>
  </si>
  <si>
    <t>Référence tarifaire Anthropic (skill claude-api, cache 24 juin 2026).</t>
  </si>
  <si>
    <t>Anthropic Claude Sonnet 5</t>
  </si>
  <si>
    <t>Référence tarifaire Anthropic.</t>
  </si>
  <si>
    <t>Anthropic Claude Opus 5 (défaut IRIS)</t>
  </si>
  <si>
    <t>Référence tarifaire Anthropic — modèle Claude par défaut dans config.py.</t>
  </si>
  <si>
    <t>Anthropic Claude Fable 5.1</t>
  </si>
  <si>
    <t>Référence tarifaire Anthropic — réservé aux tâches complexes.</t>
  </si>
  <si>
    <t>Jetons par capture d'écran envoyée au modèle de vision</t>
  </si>
  <si>
    <t>Ordre de grandeur pour une image 1 280×800 (≈ largeur×hauteur/750 chez Anthropic).</t>
  </si>
  <si>
    <t>5. ElevenLabs — voix d'IRIS (modèle eleven_flash_v2_5, voix « Mélanie »)</t>
  </si>
  <si>
    <t>Plan</t>
  </si>
  <si>
    <t>Prix US$/mois</t>
  </si>
  <si>
    <t>Crédits/mois</t>
  </si>
  <si>
    <t>US$ / 1 000 crédits</t>
  </si>
  <si>
    <t>Free</t>
  </si>
  <si>
    <t>elevenlabs.io/pricing (2 sept. 2026). Creator : 11 US$ le premier mois.</t>
  </si>
  <si>
    <t>Starter</t>
  </si>
  <si>
    <t>Creator</t>
  </si>
  <si>
    <t>Pro</t>
  </si>
  <si>
    <t>Scale</t>
  </si>
  <si>
    <t>Business</t>
  </si>
  <si>
    <t>Plan ElevenLabs souscrit (liste déroulante)</t>
  </si>
  <si>
    <t>Le plan détermine le coût marginal par caractère et le coût fixe mensuel. Scale = 1,8 M crédits ≈ 3,6 M caractères Flash.</t>
  </si>
  <si>
    <t>Coût fixe du plan choisi (US$/mois)</t>
  </si>
  <si>
    <t>Crédits inclus dans le plan choisi</t>
  </si>
  <si>
    <t>Coût marginal (US$ / 1 000 crédits)</t>
  </si>
  <si>
    <t>Le dépassement de quota est facturé à un tarif proche du tarif moyen du plan (Scale ≈ 0,17 US$/1 000 crédits).</t>
  </si>
  <si>
    <t>Crédits par caractère — eleven_flash_v2_5 / turbo</t>
  </si>
  <si>
    <t>elevenlabs.io/pricing : Flash/Turbo v2.5 = 0,5 crédit par caractère (Multilingual v2 = 1 crédit).</t>
  </si>
  <si>
    <t>Voix alternative — OpenAI gpt-4o-mini-tts (US$ / 1 000 caractères)</t>
  </si>
  <si>
    <t>HYPOTHÈSE à vérifier sur openai.com/api/pricing (~0,015 US$/1 000 caractères, soit ~5 × moins cher qu'ElevenLabs Scale). Voix française moins naturelle : option de repli pour les plans d'entrée.</t>
  </si>
  <si>
    <t>Reconnaissance vocale cloud (US$ / minute audio)</t>
  </si>
  <si>
    <t>IRIS utilise Vosk hors-ligne (0 $) par défaut ; Google STT (avec consentement) ≈ 0,016 US$/min — HYPOTHÈSE à vérifier sur cloud.google.com/speech-to-text/pricing.</t>
  </si>
  <si>
    <t>Part des requêtes traitées par la reconnaissance cloud</t>
  </si>
  <si>
    <t>Hypothèse : 30 % (micro Bluetooth de qualité téléphone → bascule cloud).</t>
  </si>
  <si>
    <t>6. Profils d'usage mensuels par utilisateur</t>
  </si>
  <si>
    <t>Léger</t>
  </si>
  <si>
    <t>Moyen</t>
  </si>
  <si>
    <t>Intensif</t>
  </si>
  <si>
    <t>Note</t>
  </si>
  <si>
    <t>Requêtes vocales par jour</t>
  </si>
  <si>
    <t>Hypothèse. Un usage 'assistant au quotidien' tourne autour de 20–30 commandes/jour.</t>
  </si>
  <si>
    <t>Jours d'utilisation par mois</t>
  </si>
  <si>
    <t>Jetons d'entrée par requête (prompt système + outils + historique)</t>
  </si>
  <si>
    <t>Le prompt système d'IRIS + définitions d'outils PC ≈ 2 000 jetons ; l'historique ajoute le reste.</t>
  </si>
  <si>
    <t>Jetons de sortie par requête (réponse vocale courte, effort « low »)</t>
  </si>
  <si>
    <t>≈ 80–130 mots parlés.</t>
  </si>
  <si>
    <t>Caractères lus par ElevenLabs par requête</t>
  </si>
  <si>
    <t>Moyenne entre confirmations courtes (« C'est fait ») et réponses de 2–3 phrases ; 200 caractères ≈ 13 s de parole. Premier poste de coût : à mesurer dans le compteur ElevenLabs.</t>
  </si>
  <si>
    <t>Minutes audio dictées par requête</t>
  </si>
  <si>
    <t>7–12 s de parole par commande.</t>
  </si>
  <si>
    <t>Part des requêtes avec capture d'écran (vision)</t>
  </si>
  <si>
    <t>Contrôle complet de l'écran (computer_use) : chaque boucle envoie une capture.</t>
  </si>
  <si>
    <t>7. Coûts fixes mensuels de l'entreprise (US$ ou CAD selon la colonne)</t>
  </si>
  <si>
    <t>US$/mois</t>
  </si>
  <si>
    <t>CAD/mois</t>
  </si>
  <si>
    <t>ElevenLabs — plan choisi</t>
  </si>
  <si>
    <t>Lié au plan de la section 5.</t>
  </si>
  <si>
    <t>Claude Pro (compte développeur, Claude Code)</t>
  </si>
  <si>
    <t>claude.ai — 20 US$/mois (17 US$ en annuel). Max : 100 ou 200 US$. NE PEUT PAS servir les clients : l'usage clients passe par l'API (prépayée, console.anthropic.com).</t>
  </si>
  <si>
    <t>ChatGPT Plus (compte développeur)</t>
  </si>
  <si>
    <t>openai.com — 20 US$/mois. Même règle : l'API se paie à part.</t>
  </si>
  <si>
    <t>Google AI Pro (compte développeur)</t>
  </si>
  <si>
    <t>one.google.com — 19,99 US$/mois. L'API Gemini a un palier gratuit + facturation à l'usage.</t>
  </si>
  <si>
    <t>Hébergement / domaine / courriel (site VELA, mises à jour de l'app)</t>
  </si>
  <si>
    <t>Hypothèse : VPS léger + domaine. Le backend IRIS tourne en local chez l'utilisateur, pas de serveur d'inférence.</t>
  </si>
  <si>
    <t>Outils : Stripe (abonnement 0), signature de code Windows, licences</t>
  </si>
  <si>
    <t>Certificat de signature de code ~300 US$/an amorti.</t>
  </si>
  <si>
    <t>Comptabilité / assurance responsabilité / frais bancaires</t>
  </si>
  <si>
    <t>Hypothèse Québec, entreprise individuelle ou inc.</t>
  </si>
  <si>
    <t>Marketing (publicités, contenu, échantillons)</t>
  </si>
  <si>
    <t>Hypothèse de démarrage ; à ajuster selon le budget.</t>
  </si>
  <si>
    <t>Total coûts fixes (CAD/mois)</t>
  </si>
  <si>
    <t>Salaire fondateur (CAD/mois) — 0 au démarrage, à ajouter quand la trésorerie le permet</t>
  </si>
  <si>
    <t>Coût de revient et prix de vente des lunettes VELA (K900 + IRIS)</t>
  </si>
  <si>
    <t>Toutes les valeurs sont calculées à partir de la feuille Hypothèses. Colonnes = palier de commande OEM.</t>
  </si>
  <si>
    <t>Poste (par unité)</t>
  </si>
  <si>
    <t>Formule / note</t>
  </si>
  <si>
    <t>Quantité commandée</t>
  </si>
  <si>
    <t>Prix OEM (US$)</t>
  </si>
  <si>
    <t>Devis SmartXY à insérer dans Hypothèses.</t>
  </si>
  <si>
    <t>Frais non récurrents amortis (US$)</t>
  </si>
  <si>
    <t>Fret + assurance (US$)</t>
  </si>
  <si>
    <t>Douane + courtage (US$)</t>
  </si>
  <si>
    <t>Emballage, étui, câble (US$)</t>
  </si>
  <si>
    <t>Réserve garantie (US$)</t>
  </si>
  <si>
    <t>Coût rendu entrepôt (US$)</t>
  </si>
  <si>
    <t>Coût rendu entrepôt (CAD)</t>
  </si>
  <si>
    <t>Conversion au taux de la feuille Hypothèses.</t>
  </si>
  <si>
    <t>Préparation + expédition client (CAD)</t>
  </si>
  <si>
    <t>COÛT DE REVIENT COMPLET (CAD, hors retours et paiement)</t>
  </si>
  <si>
    <t>Prix de vente</t>
  </si>
  <si>
    <t>Prix HT nécessaire pour la marge cible (CAD)</t>
  </si>
  <si>
    <t>Formule : coût / (1 − marge cible − retours − frais Stripe %). La marge cible est nette des retours et des frais de paiement.</t>
  </si>
  <si>
    <t>Prix public recommandé HT (CAD, arrondi psychologique x49/x99)</t>
  </si>
  <si>
    <t>Prix TTC affiché au Québec (CAD)</t>
  </si>
  <si>
    <t>Équivalent US$ (pour comparer aux concurrents)</t>
  </si>
  <si>
    <t>Frais Stripe par vente (CAD)</t>
  </si>
  <si>
    <t>Coût des retours par vente (CAD)</t>
  </si>
  <si>
    <t>Marge brute par paire vendue (CAD)</t>
  </si>
  <si>
    <t>Marge brute réelle (%)</t>
  </si>
  <si>
    <t>Capital à immobiliser pour la commande (CAD, rendu entrepôt)</t>
  </si>
  <si>
    <t>Trésorerie nécessaire avant la première vente du palier (hors marketing).</t>
  </si>
  <si>
    <t>Prix retenu (palier choisi dans Hypothèses)</t>
  </si>
  <si>
    <t>Palier choisi</t>
  </si>
  <si>
    <t>Prix public HT retenu (CAD)</t>
  </si>
  <si>
    <t>Coût de revient complet retenu (CAD)</t>
  </si>
  <si>
    <t>Marge brute par paire retenue (CAD)</t>
  </si>
  <si>
    <t>Prix TTC retenu (CAD)</t>
  </si>
  <si>
    <t>Positionnement face aux concurrents (convertis en CAD)</t>
  </si>
  <si>
    <t>Prix CAD</t>
  </si>
  <si>
    <t>Écart VELA vs concurrent</t>
  </si>
  <si>
    <t>VELA (prix HT retenu)</t>
  </si>
  <si>
    <t>Lecture : VELA n'a pas d'écran ni de marque de lunetier ; le différenciateur est IRIS (confidentialité, contrôle du PC, agents au choix). Rester sous les Ray-Ban Meta (379 US$) et au-dessus des Meta Glasses (299 US$) est cohérent tant que le coût OEM reste ≤ 125 US$.</t>
  </si>
  <si>
    <t>Coût variable des API par utilisateur et par mois (CAD)</t>
  </si>
  <si>
    <t>Trois profils d'usage (Hypothèses §6). Chaque ligne « modèle » donne le coût mensuel si TOUTES les requêtes passaient par ce modèle.</t>
  </si>
  <si>
    <t>Requêtes par mois</t>
  </si>
  <si>
    <t>Jetons d'entrée par mois (texte)</t>
  </si>
  <si>
    <t>Jetons d'entrée par mois (captures d'écran)</t>
  </si>
  <si>
    <t>Jetons de sortie par mois</t>
  </si>
  <si>
    <t>A. Modèle de langage — coût mensuel selon le modèle (CAD)</t>
  </si>
  <si>
    <t>B. Voix ElevenLabs (CAD)</t>
  </si>
  <si>
    <t>Caractères synthétisés par mois</t>
  </si>
  <si>
    <t>Crédits ElevenLabs consommés</t>
  </si>
  <si>
    <t>Coût ElevenLabs au tarif marginal du plan (CAD)</t>
  </si>
  <si>
    <t>Le plan a un coût fixe (Hypothèses §7) ; ici seulement le coût par caractère.</t>
  </si>
  <si>
    <t>Comparaison : même volume avec la voix OpenAI (CAD)</t>
  </si>
  <si>
    <t>Levier n°1 si la marge des plans d'entrée est trop faible.</t>
  </si>
  <si>
    <t>Utilisateurs couverts par les crédits du plan (indicatif)</t>
  </si>
  <si>
    <t>Au-delà, dépassement facturé ou plan supérieur.</t>
  </si>
  <si>
    <t>C. Reconnaissance vocale (CAD)</t>
  </si>
  <si>
    <t>Minutes audio envoyées au cloud par mois</t>
  </si>
  <si>
    <t>Le reste est traité hors-ligne par Vosk (gratuit).</t>
  </si>
  <si>
    <t>Coût reconnaissance cloud (CAD)</t>
  </si>
  <si>
    <t>D. Coût variable total par utilisateur selon la pile de modèles (CAD/mois)</t>
  </si>
  <si>
    <t>Pile GRATUIT : OpenRouter gratuit + voix Windows (pas d'ElevenLabs)</t>
  </si>
  <si>
    <t>Pile ESSENTIEL : Gemini 2.5 Flash 70 % + GPT-5 mini 30 % + ElevenLabs</t>
  </si>
  <si>
    <t>Pile PRO : Claude Sonnet 5 60 % + Gemini 2.5 Flash 30 % + GPT-5 10 % + ElevenLabs</t>
  </si>
  <si>
    <t>Pile ULTRA : Claude Opus 5 50 % + Claude Sonnet 5 30 % + GPT-5 20 % + ElevenLabs</t>
  </si>
  <si>
    <t>Lecture : la voix ElevenLabs est le premier poste de coût en usage intensif ; le modèle de langage ne pèse vraiment qu'avec Claude Opus 5. D'où l'intérêt de réserver Opus aux tâches longues (reasoning_model) et de garder un modèle rapide pour la voix (voice_model).</t>
  </si>
  <si>
    <t>Plans d'abonnement IRIS — prix, coût par abonné et marge (CAD, hors taxes)</t>
  </si>
  <si>
    <t>Les prix mensuels sont des entrées (bleu). Le coût par abonné vient de la feuille Coût API selon le profil d'usage associé au plan.</t>
  </si>
  <si>
    <t>GRATUIT</t>
  </si>
  <si>
    <t>ESSENTIEL</t>
  </si>
  <si>
    <t>PRO</t>
  </si>
  <si>
    <t>ULTRA</t>
  </si>
  <si>
    <t>Prix mensuel HT (CAD)</t>
  </si>
  <si>
    <t>Repère marché : ChatGPT Plus / Claude Pro / Google AI Pro = 20 US$ ≈ 27 CAD. PRO doit rester proche de ce repère ; ULTRA inclut Opus 5.</t>
  </si>
  <si>
    <t>Prix annuel HT (CAD) — 2 mois offerts</t>
  </si>
  <si>
    <t>Profil d'usage associé (Léger / Moyen / Intensif)</t>
  </si>
  <si>
    <t>Pile de modèles (voir Coût API §D)</t>
  </si>
  <si>
    <t>Gratuit</t>
  </si>
  <si>
    <t>Essentiel</t>
  </si>
  <si>
    <t>Ultra</t>
  </si>
  <si>
    <t>Quota de requêtes vocales par mois</t>
  </si>
  <si>
    <t>Plafond « fair use » à coder dans IRIS pour borner le coût d'un abonné intensif.</t>
  </si>
  <si>
    <t>Ce qui est inclus</t>
  </si>
  <si>
    <t>Modèles gratuits OpenRouter (minimax-m3:free), voix Windows, contrôle du PC, Vosk hors-ligne. Clés API personnelles possibles.</t>
  </si>
  <si>
    <t>Voix ElevenLabs « Mélanie », Gemini 2.5 Flash + GPT-5 mini, sites web enregistrés (Omnivox…), routines, rappels.</t>
  </si>
  <si>
    <t>Tout ESSENTIEL + Claude Sonnet 5 pour le raisonnement, vision de l'écran (computer_use), résumé quotidien, mémoire.</t>
  </si>
  <si>
    <t>Tout PRO + Claude Opus 5 pour les tâches longues, quota élevé, support prioritaire, accès anticipé aux nouveautés.</t>
  </si>
  <si>
    <t>Coût et marge par abonné (CAD/mois)</t>
  </si>
  <si>
    <t>Coût API variable par abonné</t>
  </si>
  <si>
    <t>Frais Stripe</t>
  </si>
  <si>
    <t>Marge brute par abonné (CAD)</t>
  </si>
  <si>
    <t>Marge brute (%)</t>
  </si>
  <si>
    <t>Coût API si l'abonné consomme tout son quota (pire cas)</t>
  </si>
  <si>
    <t>Marge brute au pire cas (%)</t>
  </si>
  <si>
    <t>Doit rester positif : sinon baisser le quota ou monter le prix.</t>
  </si>
  <si>
    <t>Offres groupées lunettes + abonnement</t>
  </si>
  <si>
    <t>Offre</t>
  </si>
  <si>
    <t>Prix HT (CAD)</t>
  </si>
  <si>
    <t>Coût (CAD)</t>
  </si>
  <si>
    <t>Marge brute (CAD)</t>
  </si>
  <si>
    <t>Lunettes seules</t>
  </si>
  <si>
    <t>Lunettes + 12 mois PRO (remise sur l'abonnement)</t>
  </si>
  <si>
    <t>Lunettes + 12 mois ULTRA (remise sur l'abonnement)</t>
  </si>
  <si>
    <t>Règle importante : les abonnements grand public ChatGPT Plus, Claude Pro et Google AI Pro couvrent ton usage personnel et le développement. Pour servir des clients, IRIS doit appeler les API (facturées à l'usage, prépayées) — ce sont ces coûts qui figurent ici. Revendre l'accès via un compte grand public viole les conditions d'utilisation.</t>
  </si>
  <si>
    <t>Projection 12 mois — ventes de lunettes + abonnements (CAD, hors taxes)</t>
  </si>
  <si>
    <t>Leviers (entrées)</t>
  </si>
  <si>
    <t>Part des acheteurs qui prennent un abonnement payant</t>
  </si>
  <si>
    <t>Répartition des abonnés payants : ESSENTIEL / PRO / ULTRA</t>
  </si>
  <si>
    <t>← doit faire 100 %</t>
  </si>
  <si>
    <t>Désabonnement mensuel (churn)</t>
  </si>
  <si>
    <t>Abonnés logiciel seuls (sans lunettes) recrutés par mois, en % des lunettes vendues</t>
  </si>
  <si>
    <t>IRIS fonctionne aussi sans lunettes (app Windows) : source d'abonnés supplémentaire.</t>
  </si>
  <si>
    <t>Mois 1</t>
  </si>
  <si>
    <t>Mois 2</t>
  </si>
  <si>
    <t>Mois 3</t>
  </si>
  <si>
    <t>Mois 4</t>
  </si>
  <si>
    <t>Mois 5</t>
  </si>
  <si>
    <t>Mois 6</t>
  </si>
  <si>
    <t>Mois 7</t>
  </si>
  <si>
    <t>Mois 8</t>
  </si>
  <si>
    <t>Mois 9</t>
  </si>
  <si>
    <t>Mois 10</t>
  </si>
  <si>
    <t>Mois 11</t>
  </si>
  <si>
    <t>Mois 12</t>
  </si>
  <si>
    <t>Total / fin</t>
  </si>
  <si>
    <t>Lunettes vendues (entrée)</t>
  </si>
  <si>
    <t>Revenu lunettes</t>
  </si>
  <si>
    <t>Coût des lunettes vendues (coût de revient + Stripe + retours)</t>
  </si>
  <si>
    <t>Marge brute lunettes</t>
  </si>
  <si>
    <t>Nouveaux abonnés ESSENTIEL</t>
  </si>
  <si>
    <t>Abonnés ESSENTIEL en fin de mois</t>
  </si>
  <si>
    <t>Nouveaux abonnés PRO</t>
  </si>
  <si>
    <t>Abonnés PRO en fin de mois</t>
  </si>
  <si>
    <t>Nouveaux abonnés ULTRA</t>
  </si>
  <si>
    <t>Abonnés ULTRA en fin de mois</t>
  </si>
  <si>
    <t>Total abonnés payants</t>
  </si>
  <si>
    <t>Revenu abonnements</t>
  </si>
  <si>
    <t>Coût API (ElevenLabs, Gemini, OpenAI, Claude)</t>
  </si>
  <si>
    <t>Frais Stripe abonnements</t>
  </si>
  <si>
    <t>Marge brute abonnements</t>
  </si>
  <si>
    <t>REVENU TOTAL</t>
  </si>
  <si>
    <t>MARGE BRUTE TOTALE</t>
  </si>
  <si>
    <t>Coûts fixes (Hypothèses §7) + salaire</t>
  </si>
  <si>
    <t>RÉSULTAT MENSUEL avant impôts</t>
  </si>
  <si>
    <t>Trésorerie cumulée (hors achat du stock initial)</t>
  </si>
  <si>
    <t>Indicateurs</t>
  </si>
  <si>
    <t>Premier mois rentable (résultat mensuel ≥ 0)</t>
  </si>
  <si>
    <t>Ventes de lunettes par mois pour couvrir les coûts fixes (sans abonnement)</t>
  </si>
  <si>
    <t>Abonnés PRO nécessaires pour couvrir les coûts fixes (sans lunettes)</t>
  </si>
  <si>
    <t>Stock initial à financer (palier choisi, CAD)</t>
  </si>
  <si>
    <t>Revenu annuel récurrent (ARR) en fin de mois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</si>
</sst>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;&quot;-&quot;"/>
    <numFmt numFmtId="165" formatCode="0.0%;\(0.0%\);&quot;-&quot;"/>
    <numFmt numFmtId="166" formatCode="#,##0.00\ &quot;$&quot;;\(#,##0.00\ &quot;$&quot;\);&quot;-&quot;"/>
    <numFmt numFmtId="167" formatCode="#,##0;\(#,##0\);&quot;-&quot;"/>
    <numFmt numFmtId="168" formatCode="#,##0.00\ &quot;US$&quot;;\(#,##0.00\ &quot;US$&quot;\);&quot;-&quot;"/>
    <numFmt numFmtId="169" formatCode="#,##0.0000\ &quot;US$&quot;;\(#,##0.0000\ &quot;US$&quot;\);&quot;-&quot;"/>
    <numFmt numFmtId="170" formatCode="#,##0\ &quot;$&quot;;\(#,##0\ &quot;$&quot;\);&quot;-&quot;"/>
  </numFmts>
  <fonts count="10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color rgb="FF0F6E56"/>
      <name val="Arial"/>
    </font>
    <font>
      <b/>
      <sz val="11"/>
      <color rgb="FFFFFFFF"/>
      <name val="Arial"/>
    </font>
    <font>
      <sz val="10"/>
      <color rgb="FF000000"/>
      <name val="Arial"/>
    </font>
    <font>
      <sz val="10"/>
      <color rgb="FF0000FF"/>
      <name val="Arial"/>
    </font>
    <font>
      <sz val="10"/>
      <color rgb="FF008000"/>
      <name val="Arial"/>
    </font>
    <font>
      <b/>
      <sz val="10"/>
      <name val="Arial"/>
    </font>
    <font>
      <b/>
      <sz val="10"/>
      <color rgb="FF000000"/>
      <name val="Arial"/>
    </font>
    <font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F6E56"/>
      </patternFill>
    </fill>
    <fill>
      <patternFill patternType="solid">
        <fgColor rgb="FFFFFF00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9" fillId="0" borderId="0" xfId="0" applyFont="1"/>
    <xf numFmtId="0" fontId="4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top" wrapText="1"/>
    </xf>
    <xf numFmtId="0" fontId="4" fillId="0" borderId="0" xfId="0" applyFont="1"/>
    <xf numFmtId="164" fontId="5" fillId="3" borderId="1" xfId="0" applyNumberFormat="1" applyFont="1" applyFill="1" applyBorder="1"/>
    <xf numFmtId="165" fontId="5" fillId="0" borderId="1" xfId="0" applyNumberFormat="1" applyFont="1" applyBorder="1"/>
    <xf numFmtId="166" fontId="5" fillId="0" borderId="1" xfId="0" applyNumberFormat="1" applyFont="1" applyBorder="1"/>
    <xf numFmtId="167" fontId="5" fillId="3" borderId="1" xfId="0" applyNumberFormat="1" applyFont="1" applyFill="1" applyBorder="1"/>
    <xf numFmtId="165" fontId="5" fillId="3" borderId="1" xfId="0" applyNumberFormat="1" applyFont="1" applyFill="1" applyBorder="1"/>
    <xf numFmtId="168" fontId="5" fillId="3" borderId="1" xfId="0" applyNumberFormat="1" applyFont="1" applyFill="1" applyBorder="1"/>
    <xf numFmtId="167" fontId="5" fillId="0" borderId="1" xfId="0" applyNumberFormat="1" applyFont="1" applyBorder="1"/>
    <xf numFmtId="168" fontId="5" fillId="0" borderId="1" xfId="0" applyNumberFormat="1" applyFont="1" applyBorder="1"/>
    <xf numFmtId="169" fontId="5" fillId="0" borderId="1" xfId="0" applyNumberFormat="1" applyFont="1" applyBorder="1"/>
    <xf numFmtId="169" fontId="4" fillId="0" borderId="1" xfId="0" applyNumberFormat="1" applyFont="1" applyBorder="1"/>
    <xf numFmtId="0" fontId="5" fillId="3" borderId="1" xfId="0" applyFont="1" applyFill="1" applyBorder="1"/>
    <xf numFmtId="168" fontId="4" fillId="0" borderId="1" xfId="0" applyNumberFormat="1" applyFont="1" applyBorder="1"/>
    <xf numFmtId="167" fontId="4" fillId="0" borderId="1" xfId="0" applyNumberFormat="1" applyFont="1" applyBorder="1"/>
    <xf numFmtId="164" fontId="5" fillId="0" borderId="1" xfId="0" applyNumberFormat="1" applyFont="1" applyBorder="1"/>
    <xf numFmtId="168" fontId="6" fillId="0" borderId="1" xfId="0" applyNumberFormat="1" applyFont="1" applyBorder="1"/>
    <xf numFmtId="166" fontId="4" fillId="0" borderId="1" xfId="0" applyNumberFormat="1" applyFont="1" applyBorder="1"/>
    <xf numFmtId="0" fontId="7" fillId="0" borderId="0" xfId="0" applyFont="1"/>
    <xf numFmtId="166" fontId="8" fillId="0" borderId="1" xfId="0" applyNumberFormat="1" applyFont="1" applyBorder="1"/>
    <xf numFmtId="166" fontId="5" fillId="3" borderId="1" xfId="0" applyNumberFormat="1" applyFont="1" applyFill="1" applyBorder="1"/>
    <xf numFmtId="168" fontId="8" fillId="0" borderId="1" xfId="0" applyNumberFormat="1" applyFont="1" applyBorder="1"/>
    <xf numFmtId="166" fontId="8" fillId="4" borderId="1" xfId="0" applyNumberFormat="1" applyFont="1" applyFill="1" applyBorder="1"/>
    <xf numFmtId="166" fontId="8" fillId="3" borderId="1" xfId="0" applyNumberFormat="1" applyFont="1" applyFill="1" applyBorder="1"/>
    <xf numFmtId="165" fontId="8" fillId="0" borderId="1" xfId="0" applyNumberFormat="1" applyFont="1" applyBorder="1"/>
    <xf numFmtId="170" fontId="4" fillId="0" borderId="1" xfId="0" applyNumberFormat="1" applyFont="1" applyBorder="1"/>
    <xf numFmtId="167" fontId="6" fillId="0" borderId="1" xfId="0" applyNumberFormat="1" applyFont="1" applyBorder="1"/>
    <xf numFmtId="0" fontId="6" fillId="0" borderId="1" xfId="0" applyFont="1" applyBorder="1"/>
    <xf numFmtId="165" fontId="4" fillId="0" borderId="1" xfId="0" applyNumberFormat="1" applyFont="1" applyBorder="1"/>
    <xf numFmtId="164" fontId="4" fillId="0" borderId="1" xfId="0" applyNumberFormat="1" applyFont="1" applyBorder="1"/>
    <xf numFmtId="0" fontId="5" fillId="0" borderId="1" xfId="0" applyFont="1" applyBorder="1"/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166" fontId="6" fillId="0" borderId="1" xfId="0" applyNumberFormat="1" applyFont="1" applyBorder="1"/>
    <xf numFmtId="165" fontId="8" fillId="4" borderId="1" xfId="0" applyNumberFormat="1" applyFont="1" applyFill="1" applyBorder="1"/>
    <xf numFmtId="167" fontId="8" fillId="0" borderId="1" xfId="0" applyNumberFormat="1" applyFont="1" applyBorder="1"/>
    <xf numFmtId="170" fontId="8" fillId="0" borderId="1" xfId="0" applyNumberFormat="1" applyFont="1" applyBorder="1"/>
    <xf numFmtId="170" fontId="8" fillId="4" borderId="1" xfId="0" applyNumberFormat="1" applyFont="1" applyFill="1" applyBorder="1"/>
    <xf numFmtId="0" fontId="1" fillId="0" borderId="0" xfId="0" applyFont="1"/>
    <xf numFmtId="0" fontId="9" fillId="0" borderId="0" xfId="0" applyFont="1"/>
    <xf numFmtId="0" fontId="9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4"/>
  <sheetViews>
    <sheetView tabSelected="1" workbookViewId="0"/>
  </sheetViews>
  <sheetFormatPr baseColWidth="10" defaultColWidth="9.140625" defaultRowHeight="15" x14ac:dyDescent="0.25"/>
  <cols>
    <col min="1" max="1" width="120" customWidth="1"/>
  </cols>
  <sheetData>
    <row r="1" spans="1:1" ht="18" x14ac:dyDescent="0.25">
      <c r="A1" s="1" t="s">
        <v>0</v>
      </c>
    </row>
    <row r="2" spans="1:1" x14ac:dyDescent="0.25">
      <c r="A2" s="2"/>
    </row>
    <row r="3" spans="1:1" x14ac:dyDescent="0.25">
      <c r="A3" s="3" t="s">
        <v>1</v>
      </c>
    </row>
    <row r="4" spans="1:1" x14ac:dyDescent="0.25">
      <c r="A4" s="3"/>
    </row>
    <row r="5" spans="1:1" x14ac:dyDescent="0.25">
      <c r="A5" s="4" t="s">
        <v>2</v>
      </c>
    </row>
    <row r="6" spans="1:1" ht="25.5" x14ac:dyDescent="0.25">
      <c r="A6" s="3" t="s">
        <v>3</v>
      </c>
    </row>
    <row r="7" spans="1:1" x14ac:dyDescent="0.25">
      <c r="A7" s="3" t="s">
        <v>4</v>
      </c>
    </row>
    <row r="8" spans="1:1" ht="25.5" x14ac:dyDescent="0.25">
      <c r="A8" s="3" t="s">
        <v>5</v>
      </c>
    </row>
    <row r="9" spans="1:1" x14ac:dyDescent="0.25">
      <c r="A9" s="3" t="s">
        <v>6</v>
      </c>
    </row>
    <row r="10" spans="1:1" x14ac:dyDescent="0.25">
      <c r="A10" s="3" t="s">
        <v>7</v>
      </c>
    </row>
    <row r="11" spans="1:1" x14ac:dyDescent="0.25">
      <c r="A11" s="3" t="s">
        <v>8</v>
      </c>
    </row>
    <row r="12" spans="1:1" x14ac:dyDescent="0.25">
      <c r="A12" s="3"/>
    </row>
    <row r="13" spans="1:1" x14ac:dyDescent="0.25">
      <c r="A13" s="3" t="s">
        <v>9</v>
      </c>
    </row>
    <row r="14" spans="1:1" ht="25.5" x14ac:dyDescent="0.25">
      <c r="A14" s="3" t="s">
        <v>10</v>
      </c>
    </row>
    <row r="15" spans="1:1" ht="25.5" x14ac:dyDescent="0.25">
      <c r="A15" s="3" t="s">
        <v>11</v>
      </c>
    </row>
    <row r="16" spans="1:1" x14ac:dyDescent="0.25">
      <c r="A16" s="3" t="s">
        <v>12</v>
      </c>
    </row>
    <row r="17" spans="1:1" x14ac:dyDescent="0.25">
      <c r="A17" s="3" t="s">
        <v>13</v>
      </c>
    </row>
    <row r="18" spans="1:1" ht="25.5" x14ac:dyDescent="0.25">
      <c r="A18" s="3" t="s">
        <v>14</v>
      </c>
    </row>
    <row r="19" spans="1:1" x14ac:dyDescent="0.25">
      <c r="A19" s="3" t="s">
        <v>15</v>
      </c>
    </row>
    <row r="20" spans="1:1" x14ac:dyDescent="0.25">
      <c r="A20" s="3"/>
    </row>
    <row r="21" spans="1:1" x14ac:dyDescent="0.25">
      <c r="A21" s="4" t="s">
        <v>16</v>
      </c>
    </row>
    <row r="22" spans="1:1" ht="25.5" x14ac:dyDescent="0.25">
      <c r="A22" s="3" t="s">
        <v>17</v>
      </c>
    </row>
    <row r="23" spans="1:1" x14ac:dyDescent="0.25">
      <c r="A23" s="3" t="s">
        <v>18</v>
      </c>
    </row>
    <row r="24" spans="1:1" ht="25.5" x14ac:dyDescent="0.25">
      <c r="A24" s="3" t="s">
        <v>19</v>
      </c>
    </row>
    <row r="25" spans="1:1" x14ac:dyDescent="0.25">
      <c r="A25" s="3" t="s">
        <v>20</v>
      </c>
    </row>
    <row r="26" spans="1:1" x14ac:dyDescent="0.25">
      <c r="A26" s="3" t="s">
        <v>21</v>
      </c>
    </row>
    <row r="27" spans="1:1" x14ac:dyDescent="0.25">
      <c r="A27" s="3"/>
    </row>
    <row r="28" spans="1:1" x14ac:dyDescent="0.25">
      <c r="A28" s="3" t="s">
        <v>22</v>
      </c>
    </row>
    <row r="29" spans="1:1" ht="25.5" x14ac:dyDescent="0.25">
      <c r="A29" s="3" t="s">
        <v>23</v>
      </c>
    </row>
    <row r="30" spans="1:1" ht="25.5" x14ac:dyDescent="0.25">
      <c r="A30" s="3" t="s">
        <v>24</v>
      </c>
    </row>
    <row r="31" spans="1:1" ht="38.25" x14ac:dyDescent="0.25">
      <c r="A31" s="3" t="s">
        <v>25</v>
      </c>
    </row>
    <row r="32" spans="1:1" ht="25.5" x14ac:dyDescent="0.25">
      <c r="A32" s="3" t="s">
        <v>26</v>
      </c>
    </row>
    <row r="33" spans="1:1" ht="25.5" x14ac:dyDescent="0.25">
      <c r="A33" s="3" t="s">
        <v>27</v>
      </c>
    </row>
    <row r="34" spans="1:1" ht="25.5" x14ac:dyDescent="0.25">
      <c r="A34" s="3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46" customWidth="1"/>
    <col min="2" max="5" width="16" customWidth="1"/>
    <col min="6" max="6" width="60" customWidth="1"/>
  </cols>
  <sheetData>
    <row r="1" spans="1:6" ht="18" x14ac:dyDescent="0.25">
      <c r="A1" s="46" t="s">
        <v>29</v>
      </c>
      <c r="B1" s="47"/>
      <c r="C1" s="47"/>
      <c r="D1" s="47"/>
      <c r="E1" s="47"/>
      <c r="F1" s="48"/>
    </row>
    <row r="2" spans="1:6" x14ac:dyDescent="0.25">
      <c r="A2" s="2"/>
      <c r="B2" s="2"/>
      <c r="C2" s="2"/>
      <c r="D2" s="2"/>
      <c r="E2" s="2"/>
      <c r="F2" s="5"/>
    </row>
    <row r="3" spans="1:6" ht="18" customHeight="1" x14ac:dyDescent="0.25">
      <c r="A3" s="6" t="s">
        <v>30</v>
      </c>
      <c r="B3" s="2"/>
      <c r="C3" s="2"/>
      <c r="D3" s="2"/>
      <c r="E3" s="2"/>
      <c r="F3" s="5"/>
    </row>
    <row r="4" spans="1:6" x14ac:dyDescent="0.25">
      <c r="A4" s="7" t="s">
        <v>31</v>
      </c>
      <c r="B4" s="7" t="s">
        <v>32</v>
      </c>
      <c r="C4" s="2"/>
      <c r="D4" s="2"/>
      <c r="E4" s="2"/>
      <c r="F4" s="8" t="s">
        <v>33</v>
      </c>
    </row>
    <row r="5" spans="1:6" ht="25.5" x14ac:dyDescent="0.25">
      <c r="A5" s="9" t="s">
        <v>34</v>
      </c>
      <c r="B5" s="10">
        <v>1.36</v>
      </c>
      <c r="C5" s="2"/>
      <c r="D5" s="2"/>
      <c r="E5" s="2"/>
      <c r="F5" s="3" t="s">
        <v>35</v>
      </c>
    </row>
    <row r="6" spans="1:6" ht="25.5" x14ac:dyDescent="0.25">
      <c r="A6" s="9" t="s">
        <v>36</v>
      </c>
      <c r="B6" s="11">
        <v>0.14974999999999999</v>
      </c>
      <c r="C6" s="2"/>
      <c r="D6" s="2"/>
      <c r="E6" s="2"/>
      <c r="F6" s="3" t="s">
        <v>37</v>
      </c>
    </row>
    <row r="7" spans="1:6" x14ac:dyDescent="0.25">
      <c r="A7" s="9" t="s">
        <v>38</v>
      </c>
      <c r="B7" s="11">
        <v>2.9000000000000001E-2</v>
      </c>
      <c r="C7" s="2"/>
      <c r="D7" s="2"/>
      <c r="E7" s="2"/>
      <c r="F7" s="3" t="s">
        <v>39</v>
      </c>
    </row>
    <row r="8" spans="1:6" x14ac:dyDescent="0.25">
      <c r="A8" s="9" t="s">
        <v>40</v>
      </c>
      <c r="B8" s="12">
        <v>0.3</v>
      </c>
      <c r="C8" s="2"/>
      <c r="D8" s="2"/>
      <c r="E8" s="2"/>
      <c r="F8" s="5"/>
    </row>
    <row r="9" spans="1:6" ht="25.5" x14ac:dyDescent="0.25">
      <c r="A9" s="9" t="s">
        <v>41</v>
      </c>
      <c r="B9" s="13">
        <v>500</v>
      </c>
      <c r="C9" s="2"/>
      <c r="D9" s="2"/>
      <c r="E9" s="2"/>
      <c r="F9" s="3" t="s">
        <v>42</v>
      </c>
    </row>
    <row r="10" spans="1:6" ht="25.5" x14ac:dyDescent="0.25">
      <c r="A10" s="9" t="s">
        <v>43</v>
      </c>
      <c r="B10" s="14">
        <v>0.45</v>
      </c>
      <c r="C10" s="2"/>
      <c r="D10" s="2"/>
      <c r="E10" s="2"/>
      <c r="F10" s="3" t="s">
        <v>44</v>
      </c>
    </row>
    <row r="11" spans="1:6" x14ac:dyDescent="0.25">
      <c r="A11" s="2"/>
      <c r="B11" s="2"/>
      <c r="C11" s="2"/>
      <c r="D11" s="2"/>
      <c r="E11" s="2"/>
      <c r="F11" s="5"/>
    </row>
    <row r="12" spans="1:6" ht="18" customHeight="1" x14ac:dyDescent="0.25">
      <c r="A12" s="6" t="s">
        <v>45</v>
      </c>
      <c r="B12" s="2"/>
      <c r="C12" s="2"/>
      <c r="D12" s="2"/>
      <c r="E12" s="2"/>
      <c r="F12" s="5"/>
    </row>
    <row r="13" spans="1:6" x14ac:dyDescent="0.25">
      <c r="A13" s="7" t="s">
        <v>46</v>
      </c>
      <c r="B13" s="7" t="s">
        <v>47</v>
      </c>
      <c r="C13" s="7" t="s">
        <v>48</v>
      </c>
      <c r="D13" s="7" t="s">
        <v>49</v>
      </c>
      <c r="E13" s="7" t="s">
        <v>50</v>
      </c>
      <c r="F13" s="8" t="s">
        <v>33</v>
      </c>
    </row>
    <row r="14" spans="1:6" ht="63.75" x14ac:dyDescent="0.25">
      <c r="A14" s="9" t="s">
        <v>51</v>
      </c>
      <c r="B14" s="15">
        <v>145</v>
      </c>
      <c r="C14" s="15">
        <v>125</v>
      </c>
      <c r="D14" s="15">
        <v>110</v>
      </c>
      <c r="E14" s="15">
        <v>95</v>
      </c>
      <c r="F14" s="3" t="s">
        <v>52</v>
      </c>
    </row>
    <row r="15" spans="1:6" x14ac:dyDescent="0.25">
      <c r="A15" s="9" t="s">
        <v>53</v>
      </c>
      <c r="B15" s="16">
        <v>100</v>
      </c>
      <c r="C15" s="16">
        <v>500</v>
      </c>
      <c r="D15" s="16">
        <v>1000</v>
      </c>
      <c r="E15" s="16">
        <v>5000</v>
      </c>
      <c r="F15" s="5"/>
    </row>
    <row r="16" spans="1:6" ht="25.5" x14ac:dyDescent="0.25">
      <c r="A16" s="9" t="s">
        <v>54</v>
      </c>
      <c r="B16" s="15">
        <v>15000</v>
      </c>
      <c r="C16" s="2"/>
      <c r="D16" s="2"/>
      <c r="E16" s="2"/>
      <c r="F16" s="3" t="s">
        <v>55</v>
      </c>
    </row>
    <row r="17" spans="1:6" ht="25.5" x14ac:dyDescent="0.25">
      <c r="A17" s="9" t="s">
        <v>56</v>
      </c>
      <c r="B17" s="17">
        <v>6</v>
      </c>
      <c r="C17" s="2"/>
      <c r="D17" s="2"/>
      <c r="E17" s="2"/>
      <c r="F17" s="3" t="s">
        <v>57</v>
      </c>
    </row>
    <row r="18" spans="1:6" ht="25.5" x14ac:dyDescent="0.25">
      <c r="A18" s="9" t="s">
        <v>58</v>
      </c>
      <c r="B18" s="11">
        <v>0.05</v>
      </c>
      <c r="C18" s="2"/>
      <c r="D18" s="2"/>
      <c r="E18" s="2"/>
      <c r="F18" s="3" t="s">
        <v>59</v>
      </c>
    </row>
    <row r="19" spans="1:6" x14ac:dyDescent="0.25">
      <c r="A19" s="9" t="s">
        <v>60</v>
      </c>
      <c r="B19" s="17">
        <v>8</v>
      </c>
      <c r="C19" s="2"/>
      <c r="D19" s="2"/>
      <c r="E19" s="2"/>
      <c r="F19" s="5"/>
    </row>
    <row r="20" spans="1:6" x14ac:dyDescent="0.25">
      <c r="A20" s="9" t="s">
        <v>61</v>
      </c>
      <c r="B20" s="11">
        <v>0.04</v>
      </c>
      <c r="C20" s="2"/>
      <c r="D20" s="2"/>
      <c r="E20" s="2"/>
      <c r="F20" s="3" t="s">
        <v>62</v>
      </c>
    </row>
    <row r="21" spans="1:6" ht="25.5" x14ac:dyDescent="0.25">
      <c r="A21" s="9" t="s">
        <v>63</v>
      </c>
      <c r="B21" s="12">
        <v>12</v>
      </c>
      <c r="C21" s="2"/>
      <c r="D21" s="2"/>
      <c r="E21" s="2"/>
      <c r="F21" s="3" t="s">
        <v>64</v>
      </c>
    </row>
    <row r="22" spans="1:6" x14ac:dyDescent="0.25">
      <c r="A22" s="9" t="s">
        <v>65</v>
      </c>
      <c r="B22" s="11">
        <v>0.03</v>
      </c>
      <c r="C22" s="2"/>
      <c r="D22" s="2"/>
      <c r="E22" s="2"/>
      <c r="F22" s="5"/>
    </row>
    <row r="23" spans="1:6" x14ac:dyDescent="0.25">
      <c r="A23" s="2"/>
      <c r="B23" s="2"/>
      <c r="C23" s="2"/>
      <c r="D23" s="2"/>
      <c r="E23" s="2"/>
      <c r="F23" s="5"/>
    </row>
    <row r="24" spans="1:6" ht="18" customHeight="1" x14ac:dyDescent="0.25">
      <c r="A24" s="6" t="s">
        <v>66</v>
      </c>
      <c r="B24" s="2"/>
      <c r="C24" s="2"/>
      <c r="D24" s="2"/>
      <c r="E24" s="2"/>
      <c r="F24" s="5"/>
    </row>
    <row r="25" spans="1:6" x14ac:dyDescent="0.25">
      <c r="A25" s="7" t="s">
        <v>67</v>
      </c>
      <c r="B25" s="7" t="s">
        <v>68</v>
      </c>
      <c r="C25" s="2"/>
      <c r="D25" s="2"/>
      <c r="E25" s="2"/>
      <c r="F25" s="8" t="s">
        <v>69</v>
      </c>
    </row>
    <row r="26" spans="1:6" ht="25.5" x14ac:dyDescent="0.25">
      <c r="A26" s="9" t="s">
        <v>70</v>
      </c>
      <c r="B26" s="17">
        <v>299</v>
      </c>
      <c r="C26" s="2"/>
      <c r="D26" s="2"/>
      <c r="E26" s="2"/>
      <c r="F26" s="3" t="s">
        <v>71</v>
      </c>
    </row>
    <row r="27" spans="1:6" x14ac:dyDescent="0.25">
      <c r="A27" s="9" t="s">
        <v>72</v>
      </c>
      <c r="B27" s="17">
        <v>379</v>
      </c>
      <c r="C27" s="2"/>
      <c r="D27" s="2"/>
      <c r="E27" s="2"/>
      <c r="F27" s="3" t="s">
        <v>73</v>
      </c>
    </row>
    <row r="28" spans="1:6" x14ac:dyDescent="0.25">
      <c r="A28" s="9" t="s">
        <v>74</v>
      </c>
      <c r="B28" s="17">
        <v>499</v>
      </c>
      <c r="C28" s="2"/>
      <c r="D28" s="2"/>
      <c r="E28" s="2"/>
      <c r="F28" s="3" t="s">
        <v>75</v>
      </c>
    </row>
    <row r="29" spans="1:6" x14ac:dyDescent="0.25">
      <c r="A29" s="9" t="s">
        <v>76</v>
      </c>
      <c r="B29" s="17">
        <v>799</v>
      </c>
      <c r="C29" s="2"/>
      <c r="D29" s="2"/>
      <c r="E29" s="2"/>
      <c r="F29" s="3" t="s">
        <v>77</v>
      </c>
    </row>
    <row r="30" spans="1:6" x14ac:dyDescent="0.25">
      <c r="A30" s="9" t="s">
        <v>78</v>
      </c>
      <c r="B30" s="17">
        <v>2195</v>
      </c>
      <c r="C30" s="2"/>
      <c r="D30" s="2"/>
      <c r="E30" s="2"/>
      <c r="F30" s="3" t="s">
        <v>79</v>
      </c>
    </row>
    <row r="31" spans="1:6" x14ac:dyDescent="0.25">
      <c r="A31" s="2"/>
      <c r="B31" s="2"/>
      <c r="C31" s="2"/>
      <c r="D31" s="2"/>
      <c r="E31" s="2"/>
      <c r="F31" s="5"/>
    </row>
    <row r="32" spans="1:6" ht="18" customHeight="1" x14ac:dyDescent="0.25">
      <c r="A32" s="6" t="s">
        <v>80</v>
      </c>
      <c r="B32" s="2"/>
      <c r="C32" s="2"/>
      <c r="D32" s="2"/>
      <c r="E32" s="2"/>
      <c r="F32" s="5"/>
    </row>
    <row r="33" spans="1:6" x14ac:dyDescent="0.25">
      <c r="A33" s="7" t="s">
        <v>81</v>
      </c>
      <c r="B33" s="7" t="s">
        <v>82</v>
      </c>
      <c r="C33" s="7" t="s">
        <v>83</v>
      </c>
      <c r="D33" s="7" t="s">
        <v>84</v>
      </c>
      <c r="E33" s="2"/>
      <c r="F33" s="8" t="s">
        <v>85</v>
      </c>
    </row>
    <row r="34" spans="1:6" ht="25.5" x14ac:dyDescent="0.25">
      <c r="A34" s="9" t="s">
        <v>86</v>
      </c>
      <c r="B34" s="18">
        <v>0</v>
      </c>
      <c r="C34" s="18">
        <v>0</v>
      </c>
      <c r="D34" s="19">
        <f t="shared" ref="D34:D43" si="0">B34</f>
        <v>0</v>
      </c>
      <c r="E34" s="2"/>
      <c r="F34" s="3" t="s">
        <v>87</v>
      </c>
    </row>
    <row r="35" spans="1:6" ht="25.5" x14ac:dyDescent="0.25">
      <c r="A35" s="9" t="s">
        <v>88</v>
      </c>
      <c r="B35" s="18">
        <v>0.3</v>
      </c>
      <c r="C35" s="18">
        <v>2.5</v>
      </c>
      <c r="D35" s="19">
        <f t="shared" si="0"/>
        <v>0.3</v>
      </c>
      <c r="E35" s="2"/>
      <c r="F35" s="3" t="s">
        <v>89</v>
      </c>
    </row>
    <row r="36" spans="1:6" x14ac:dyDescent="0.25">
      <c r="A36" s="9" t="s">
        <v>90</v>
      </c>
      <c r="B36" s="18">
        <v>0.75</v>
      </c>
      <c r="C36" s="18">
        <v>3.75</v>
      </c>
      <c r="D36" s="19">
        <f t="shared" si="0"/>
        <v>0.75</v>
      </c>
      <c r="E36" s="2"/>
      <c r="F36" s="3" t="s">
        <v>91</v>
      </c>
    </row>
    <row r="37" spans="1:6" x14ac:dyDescent="0.25">
      <c r="A37" s="9" t="s">
        <v>92</v>
      </c>
      <c r="B37" s="18">
        <v>1.25</v>
      </c>
      <c r="C37" s="18">
        <v>10</v>
      </c>
      <c r="D37" s="19">
        <f t="shared" si="0"/>
        <v>1.25</v>
      </c>
      <c r="E37" s="2"/>
      <c r="F37" s="3" t="s">
        <v>93</v>
      </c>
    </row>
    <row r="38" spans="1:6" ht="25.5" x14ac:dyDescent="0.25">
      <c r="A38" s="9" t="s">
        <v>94</v>
      </c>
      <c r="B38" s="18">
        <v>0.25</v>
      </c>
      <c r="C38" s="18">
        <v>2</v>
      </c>
      <c r="D38" s="19">
        <f t="shared" si="0"/>
        <v>0.25</v>
      </c>
      <c r="E38" s="2"/>
      <c r="F38" s="3" t="s">
        <v>95</v>
      </c>
    </row>
    <row r="39" spans="1:6" x14ac:dyDescent="0.25">
      <c r="A39" s="9" t="s">
        <v>96</v>
      </c>
      <c r="B39" s="18">
        <v>1.25</v>
      </c>
      <c r="C39" s="18">
        <v>10</v>
      </c>
      <c r="D39" s="19">
        <f t="shared" si="0"/>
        <v>1.25</v>
      </c>
      <c r="E39" s="2"/>
      <c r="F39" s="3" t="s">
        <v>97</v>
      </c>
    </row>
    <row r="40" spans="1:6" x14ac:dyDescent="0.25">
      <c r="A40" s="9" t="s">
        <v>98</v>
      </c>
      <c r="B40" s="18">
        <v>1</v>
      </c>
      <c r="C40" s="18">
        <v>5</v>
      </c>
      <c r="D40" s="19">
        <f t="shared" si="0"/>
        <v>1</v>
      </c>
      <c r="E40" s="2"/>
      <c r="F40" s="3" t="s">
        <v>99</v>
      </c>
    </row>
    <row r="41" spans="1:6" x14ac:dyDescent="0.25">
      <c r="A41" s="9" t="s">
        <v>100</v>
      </c>
      <c r="B41" s="18">
        <v>2</v>
      </c>
      <c r="C41" s="18">
        <v>10</v>
      </c>
      <c r="D41" s="19">
        <f t="shared" si="0"/>
        <v>2</v>
      </c>
      <c r="E41" s="2"/>
      <c r="F41" s="3" t="s">
        <v>101</v>
      </c>
    </row>
    <row r="42" spans="1:6" ht="25.5" x14ac:dyDescent="0.25">
      <c r="A42" s="9" t="s">
        <v>102</v>
      </c>
      <c r="B42" s="18">
        <v>5</v>
      </c>
      <c r="C42" s="18">
        <v>25</v>
      </c>
      <c r="D42" s="19">
        <f t="shared" si="0"/>
        <v>5</v>
      </c>
      <c r="E42" s="2"/>
      <c r="F42" s="3" t="s">
        <v>103</v>
      </c>
    </row>
    <row r="43" spans="1:6" x14ac:dyDescent="0.25">
      <c r="A43" s="9" t="s">
        <v>104</v>
      </c>
      <c r="B43" s="18">
        <v>10</v>
      </c>
      <c r="C43" s="18">
        <v>50</v>
      </c>
      <c r="D43" s="19">
        <f t="shared" si="0"/>
        <v>10</v>
      </c>
      <c r="E43" s="2"/>
      <c r="F43" s="3" t="s">
        <v>105</v>
      </c>
    </row>
    <row r="44" spans="1:6" ht="25.5" x14ac:dyDescent="0.25">
      <c r="A44" s="9" t="s">
        <v>106</v>
      </c>
      <c r="B44" s="16">
        <v>1600</v>
      </c>
      <c r="C44" s="2"/>
      <c r="D44" s="2"/>
      <c r="E44" s="2"/>
      <c r="F44" s="3" t="s">
        <v>107</v>
      </c>
    </row>
    <row r="45" spans="1:6" x14ac:dyDescent="0.25">
      <c r="A45" s="2"/>
      <c r="B45" s="2"/>
      <c r="C45" s="2"/>
      <c r="D45" s="2"/>
      <c r="E45" s="2"/>
      <c r="F45" s="5"/>
    </row>
    <row r="46" spans="1:6" ht="18" customHeight="1" x14ac:dyDescent="0.25">
      <c r="A46" s="6" t="s">
        <v>108</v>
      </c>
      <c r="B46" s="2"/>
      <c r="C46" s="2"/>
      <c r="D46" s="2"/>
      <c r="E46" s="2"/>
      <c r="F46" s="5"/>
    </row>
    <row r="47" spans="1:6" ht="30" x14ac:dyDescent="0.25">
      <c r="A47" s="7" t="s">
        <v>109</v>
      </c>
      <c r="B47" s="7" t="s">
        <v>110</v>
      </c>
      <c r="C47" s="7" t="s">
        <v>111</v>
      </c>
      <c r="D47" s="7" t="s">
        <v>112</v>
      </c>
      <c r="E47" s="2"/>
      <c r="F47" s="8" t="s">
        <v>69</v>
      </c>
    </row>
    <row r="48" spans="1:6" x14ac:dyDescent="0.25">
      <c r="A48" s="9" t="s">
        <v>113</v>
      </c>
      <c r="B48" s="17">
        <v>0</v>
      </c>
      <c r="C48" s="16">
        <v>10000</v>
      </c>
      <c r="D48" s="19">
        <f t="shared" ref="D48:D53" si="1">IF(C48=0,0,B48/C48*1000)</f>
        <v>0</v>
      </c>
      <c r="E48" s="2"/>
      <c r="F48" s="3" t="s">
        <v>114</v>
      </c>
    </row>
    <row r="49" spans="1:6" x14ac:dyDescent="0.25">
      <c r="A49" s="9" t="s">
        <v>115</v>
      </c>
      <c r="B49" s="17">
        <v>6</v>
      </c>
      <c r="C49" s="16">
        <v>30000</v>
      </c>
      <c r="D49" s="19">
        <f t="shared" si="1"/>
        <v>0.2</v>
      </c>
      <c r="E49" s="2"/>
      <c r="F49" s="3" t="s">
        <v>114</v>
      </c>
    </row>
    <row r="50" spans="1:6" x14ac:dyDescent="0.25">
      <c r="A50" s="9" t="s">
        <v>116</v>
      </c>
      <c r="B50" s="17">
        <v>22</v>
      </c>
      <c r="C50" s="16">
        <v>121000</v>
      </c>
      <c r="D50" s="19">
        <f t="shared" si="1"/>
        <v>0.1818181818181818</v>
      </c>
      <c r="E50" s="2"/>
      <c r="F50" s="3" t="s">
        <v>114</v>
      </c>
    </row>
    <row r="51" spans="1:6" x14ac:dyDescent="0.25">
      <c r="A51" s="9" t="s">
        <v>117</v>
      </c>
      <c r="B51" s="17">
        <v>99</v>
      </c>
      <c r="C51" s="16">
        <v>600000</v>
      </c>
      <c r="D51" s="19">
        <f t="shared" si="1"/>
        <v>0.16500000000000001</v>
      </c>
      <c r="E51" s="2"/>
      <c r="F51" s="3" t="s">
        <v>114</v>
      </c>
    </row>
    <row r="52" spans="1:6" x14ac:dyDescent="0.25">
      <c r="A52" s="9" t="s">
        <v>118</v>
      </c>
      <c r="B52" s="17">
        <v>299</v>
      </c>
      <c r="C52" s="16">
        <v>1800000</v>
      </c>
      <c r="D52" s="19">
        <f t="shared" si="1"/>
        <v>0.1661111111111111</v>
      </c>
      <c r="E52" s="2"/>
      <c r="F52" s="3" t="s">
        <v>114</v>
      </c>
    </row>
    <row r="53" spans="1:6" x14ac:dyDescent="0.25">
      <c r="A53" s="9" t="s">
        <v>119</v>
      </c>
      <c r="B53" s="17">
        <v>990</v>
      </c>
      <c r="C53" s="16">
        <v>6000000</v>
      </c>
      <c r="D53" s="19">
        <f t="shared" si="1"/>
        <v>0.16500000000000001</v>
      </c>
      <c r="E53" s="2"/>
      <c r="F53" s="3" t="s">
        <v>114</v>
      </c>
    </row>
    <row r="54" spans="1:6" ht="25.5" x14ac:dyDescent="0.25">
      <c r="A54" s="9" t="s">
        <v>120</v>
      </c>
      <c r="B54" s="20" t="s">
        <v>118</v>
      </c>
      <c r="C54" s="2"/>
      <c r="D54" s="2"/>
      <c r="E54" s="2"/>
      <c r="F54" s="3" t="s">
        <v>121</v>
      </c>
    </row>
    <row r="55" spans="1:6" x14ac:dyDescent="0.25">
      <c r="A55" s="9" t="s">
        <v>122</v>
      </c>
      <c r="B55" s="21">
        <f>INDEX($B$48:$B$53,MATCH(Hypothèses!$B$54,$A$48:$A$53,0))</f>
        <v>299</v>
      </c>
      <c r="C55" s="2"/>
      <c r="D55" s="2"/>
      <c r="E55" s="2"/>
      <c r="F55" s="5"/>
    </row>
    <row r="56" spans="1:6" x14ac:dyDescent="0.25">
      <c r="A56" s="9" t="s">
        <v>123</v>
      </c>
      <c r="B56" s="22">
        <f>INDEX($C$48:$C$53,MATCH(Hypothèses!$B$54,$A$48:$A$53,0))</f>
        <v>1800000</v>
      </c>
      <c r="C56" s="2"/>
      <c r="D56" s="2"/>
      <c r="E56" s="2"/>
      <c r="F56" s="5"/>
    </row>
    <row r="57" spans="1:6" ht="25.5" x14ac:dyDescent="0.25">
      <c r="A57" s="9" t="s">
        <v>124</v>
      </c>
      <c r="B57" s="19">
        <f>INDEX($D$48:$D$53,MATCH(Hypothèses!$B$54,$A$48:$A$53,0))</f>
        <v>0.1661111111111111</v>
      </c>
      <c r="C57" s="2"/>
      <c r="D57" s="2"/>
      <c r="E57" s="2"/>
      <c r="F57" s="3" t="s">
        <v>125</v>
      </c>
    </row>
    <row r="58" spans="1:6" ht="25.5" x14ac:dyDescent="0.25">
      <c r="A58" s="9" t="s">
        <v>126</v>
      </c>
      <c r="B58" s="23">
        <v>0.5</v>
      </c>
      <c r="C58" s="2"/>
      <c r="D58" s="2"/>
      <c r="E58" s="2"/>
      <c r="F58" s="3" t="s">
        <v>127</v>
      </c>
    </row>
    <row r="59" spans="1:6" ht="38.25" x14ac:dyDescent="0.25">
      <c r="A59" s="9" t="s">
        <v>128</v>
      </c>
      <c r="B59" s="18">
        <v>1.4999999999999999E-2</v>
      </c>
      <c r="C59" s="2"/>
      <c r="D59" s="2"/>
      <c r="E59" s="2"/>
      <c r="F59" s="3" t="s">
        <v>129</v>
      </c>
    </row>
    <row r="60" spans="1:6" ht="38.25" x14ac:dyDescent="0.25">
      <c r="A60" s="9" t="s">
        <v>130</v>
      </c>
      <c r="B60" s="18">
        <v>1.6E-2</v>
      </c>
      <c r="C60" s="2"/>
      <c r="D60" s="2"/>
      <c r="E60" s="2"/>
      <c r="F60" s="3" t="s">
        <v>131</v>
      </c>
    </row>
    <row r="61" spans="1:6" ht="25.5" x14ac:dyDescent="0.25">
      <c r="A61" s="9" t="s">
        <v>132</v>
      </c>
      <c r="B61" s="11">
        <v>0.3</v>
      </c>
      <c r="C61" s="2"/>
      <c r="D61" s="2"/>
      <c r="E61" s="2"/>
      <c r="F61" s="3" t="s">
        <v>133</v>
      </c>
    </row>
    <row r="62" spans="1:6" x14ac:dyDescent="0.25">
      <c r="A62" s="2"/>
      <c r="B62" s="2"/>
      <c r="C62" s="2"/>
      <c r="D62" s="2"/>
      <c r="E62" s="2"/>
      <c r="F62" s="5"/>
    </row>
    <row r="63" spans="1:6" ht="18" customHeight="1" x14ac:dyDescent="0.25">
      <c r="A63" s="6" t="s">
        <v>134</v>
      </c>
      <c r="B63" s="2"/>
      <c r="C63" s="2"/>
      <c r="D63" s="2"/>
      <c r="E63" s="2"/>
      <c r="F63" s="5"/>
    </row>
    <row r="64" spans="1:6" x14ac:dyDescent="0.25">
      <c r="A64" s="7" t="s">
        <v>31</v>
      </c>
      <c r="B64" s="7" t="s">
        <v>135</v>
      </c>
      <c r="C64" s="7" t="s">
        <v>136</v>
      </c>
      <c r="D64" s="7" t="s">
        <v>137</v>
      </c>
      <c r="E64" s="2"/>
      <c r="F64" s="8" t="s">
        <v>138</v>
      </c>
    </row>
    <row r="65" spans="1:6" ht="25.5" x14ac:dyDescent="0.25">
      <c r="A65" s="9" t="s">
        <v>139</v>
      </c>
      <c r="B65" s="13">
        <v>8</v>
      </c>
      <c r="C65" s="13">
        <v>20</v>
      </c>
      <c r="D65" s="13">
        <v>40</v>
      </c>
      <c r="E65" s="2"/>
      <c r="F65" s="3" t="s">
        <v>140</v>
      </c>
    </row>
    <row r="66" spans="1:6" x14ac:dyDescent="0.25">
      <c r="A66" s="9" t="s">
        <v>141</v>
      </c>
      <c r="B66" s="16">
        <v>20</v>
      </c>
      <c r="C66" s="16">
        <v>26</v>
      </c>
      <c r="D66" s="16">
        <v>30</v>
      </c>
      <c r="E66" s="2"/>
      <c r="F66" s="3"/>
    </row>
    <row r="67" spans="1:6" ht="25.5" x14ac:dyDescent="0.25">
      <c r="A67" s="9" t="s">
        <v>142</v>
      </c>
      <c r="B67" s="16">
        <v>2500</v>
      </c>
      <c r="C67" s="16">
        <v>3000</v>
      </c>
      <c r="D67" s="16">
        <v>3500</v>
      </c>
      <c r="E67" s="2"/>
      <c r="F67" s="3" t="s">
        <v>143</v>
      </c>
    </row>
    <row r="68" spans="1:6" x14ac:dyDescent="0.25">
      <c r="A68" s="9" t="s">
        <v>144</v>
      </c>
      <c r="B68" s="16">
        <v>80</v>
      </c>
      <c r="C68" s="16">
        <v>120</v>
      </c>
      <c r="D68" s="16">
        <v>160</v>
      </c>
      <c r="E68" s="2"/>
      <c r="F68" s="3" t="s">
        <v>145</v>
      </c>
    </row>
    <row r="69" spans="1:6" ht="38.25" x14ac:dyDescent="0.25">
      <c r="A69" s="9" t="s">
        <v>146</v>
      </c>
      <c r="B69" s="16">
        <v>150</v>
      </c>
      <c r="C69" s="16">
        <v>200</v>
      </c>
      <c r="D69" s="16">
        <v>260</v>
      </c>
      <c r="E69" s="2"/>
      <c r="F69" s="3" t="s">
        <v>147</v>
      </c>
    </row>
    <row r="70" spans="1:6" x14ac:dyDescent="0.25">
      <c r="A70" s="9" t="s">
        <v>148</v>
      </c>
      <c r="B70" s="23">
        <v>0.1</v>
      </c>
      <c r="C70" s="23">
        <v>0.12</v>
      </c>
      <c r="D70" s="23">
        <v>0.15</v>
      </c>
      <c r="E70" s="2"/>
      <c r="F70" s="3" t="s">
        <v>149</v>
      </c>
    </row>
    <row r="71" spans="1:6" ht="25.5" x14ac:dyDescent="0.25">
      <c r="A71" s="9" t="s">
        <v>150</v>
      </c>
      <c r="B71" s="11">
        <v>0.05</v>
      </c>
      <c r="C71" s="11">
        <v>0.1</v>
      </c>
      <c r="D71" s="11">
        <v>0.2</v>
      </c>
      <c r="E71" s="2"/>
      <c r="F71" s="3" t="s">
        <v>151</v>
      </c>
    </row>
    <row r="72" spans="1:6" x14ac:dyDescent="0.25">
      <c r="A72" s="2"/>
      <c r="B72" s="2"/>
      <c r="C72" s="2"/>
      <c r="D72" s="2"/>
      <c r="E72" s="2"/>
      <c r="F72" s="5"/>
    </row>
    <row r="73" spans="1:6" ht="18" customHeight="1" x14ac:dyDescent="0.25">
      <c r="A73" s="6" t="s">
        <v>152</v>
      </c>
      <c r="B73" s="2"/>
      <c r="C73" s="2"/>
      <c r="D73" s="2"/>
      <c r="E73" s="2"/>
      <c r="F73" s="5"/>
    </row>
    <row r="74" spans="1:6" x14ac:dyDescent="0.25">
      <c r="A74" s="7" t="s">
        <v>46</v>
      </c>
      <c r="B74" s="7" t="s">
        <v>153</v>
      </c>
      <c r="C74" s="7" t="s">
        <v>154</v>
      </c>
      <c r="D74" s="2"/>
      <c r="E74" s="2"/>
      <c r="F74" s="8" t="s">
        <v>138</v>
      </c>
    </row>
    <row r="75" spans="1:6" x14ac:dyDescent="0.25">
      <c r="A75" s="9" t="s">
        <v>155</v>
      </c>
      <c r="B75" s="24">
        <f>Hypothèses!$B$55</f>
        <v>299</v>
      </c>
      <c r="C75" s="25">
        <f>B75*Hypothèses!$B$5</f>
        <v>406.64000000000004</v>
      </c>
      <c r="D75" s="2"/>
      <c r="E75" s="2"/>
      <c r="F75" s="3" t="s">
        <v>156</v>
      </c>
    </row>
    <row r="76" spans="1:6" ht="38.25" x14ac:dyDescent="0.25">
      <c r="A76" s="9" t="s">
        <v>157</v>
      </c>
      <c r="B76" s="17">
        <v>20</v>
      </c>
      <c r="C76" s="25">
        <f>B76*Hypothèses!$B$5</f>
        <v>27.200000000000003</v>
      </c>
      <c r="D76" s="2"/>
      <c r="E76" s="2"/>
      <c r="F76" s="3" t="s">
        <v>158</v>
      </c>
    </row>
    <row r="77" spans="1:6" x14ac:dyDescent="0.25">
      <c r="A77" s="9" t="s">
        <v>159</v>
      </c>
      <c r="B77" s="17">
        <v>20</v>
      </c>
      <c r="C77" s="25">
        <f>B77*Hypothèses!$B$5</f>
        <v>27.200000000000003</v>
      </c>
      <c r="D77" s="2"/>
      <c r="E77" s="2"/>
      <c r="F77" s="3" t="s">
        <v>160</v>
      </c>
    </row>
    <row r="78" spans="1:6" ht="25.5" x14ac:dyDescent="0.25">
      <c r="A78" s="9" t="s">
        <v>161</v>
      </c>
      <c r="B78" s="17">
        <v>19.989999999999998</v>
      </c>
      <c r="C78" s="25">
        <f>B78*Hypothèses!$B$5</f>
        <v>27.186399999999999</v>
      </c>
      <c r="D78" s="2"/>
      <c r="E78" s="2"/>
      <c r="F78" s="3" t="s">
        <v>162</v>
      </c>
    </row>
    <row r="79" spans="1:6" ht="25.5" x14ac:dyDescent="0.25">
      <c r="A79" s="9" t="s">
        <v>163</v>
      </c>
      <c r="B79" s="17">
        <v>25</v>
      </c>
      <c r="C79" s="25">
        <f>B79*Hypothèses!$B$5</f>
        <v>34</v>
      </c>
      <c r="D79" s="2"/>
      <c r="E79" s="2"/>
      <c r="F79" s="3" t="s">
        <v>164</v>
      </c>
    </row>
    <row r="80" spans="1:6" x14ac:dyDescent="0.25">
      <c r="A80" s="9" t="s">
        <v>165</v>
      </c>
      <c r="B80" s="17">
        <v>30</v>
      </c>
      <c r="C80" s="25">
        <f>B80*Hypothèses!$B$5</f>
        <v>40.800000000000004</v>
      </c>
      <c r="D80" s="2"/>
      <c r="E80" s="2"/>
      <c r="F80" s="3" t="s">
        <v>166</v>
      </c>
    </row>
    <row r="81" spans="1:6" x14ac:dyDescent="0.25">
      <c r="A81" s="9" t="s">
        <v>167</v>
      </c>
      <c r="B81" s="2"/>
      <c r="C81" s="12">
        <v>150</v>
      </c>
      <c r="D81" s="2"/>
      <c r="E81" s="2"/>
      <c r="F81" s="3" t="s">
        <v>168</v>
      </c>
    </row>
    <row r="82" spans="1:6" x14ac:dyDescent="0.25">
      <c r="A82" s="9" t="s">
        <v>169</v>
      </c>
      <c r="B82" s="2"/>
      <c r="C82" s="12">
        <v>400</v>
      </c>
      <c r="D82" s="2"/>
      <c r="E82" s="2"/>
      <c r="F82" s="3" t="s">
        <v>170</v>
      </c>
    </row>
    <row r="83" spans="1:6" x14ac:dyDescent="0.25">
      <c r="A83" s="26" t="s">
        <v>171</v>
      </c>
      <c r="B83" s="2"/>
      <c r="C83" s="27">
        <f>SUM(C75:C82)</f>
        <v>1113.0264</v>
      </c>
      <c r="D83" s="2"/>
      <c r="E83" s="2"/>
      <c r="F83" s="5"/>
    </row>
    <row r="84" spans="1:6" x14ac:dyDescent="0.25">
      <c r="A84" s="9" t="s">
        <v>172</v>
      </c>
      <c r="B84" s="2"/>
      <c r="C84" s="28">
        <v>0</v>
      </c>
      <c r="D84" s="2"/>
      <c r="E84" s="2"/>
      <c r="F84" s="5"/>
    </row>
  </sheetData>
  <mergeCells count="1">
    <mergeCell ref="A1:F1"/>
  </mergeCells>
  <dataValidations count="1">
    <dataValidation type="list" sqref="B54" xr:uid="{00000000-0002-0000-0100-000000000000}">
      <formula1>$A$48:$A$53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4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52" customWidth="1"/>
    <col min="2" max="5" width="16" customWidth="1"/>
    <col min="6" max="6" width="50" customWidth="1"/>
  </cols>
  <sheetData>
    <row r="1" spans="1:6" ht="18" x14ac:dyDescent="0.25">
      <c r="A1" s="46" t="s">
        <v>173</v>
      </c>
      <c r="B1" s="47"/>
      <c r="C1" s="47"/>
      <c r="D1" s="47"/>
      <c r="E1" s="47"/>
      <c r="F1" s="47"/>
    </row>
    <row r="2" spans="1:6" x14ac:dyDescent="0.25">
      <c r="A2" s="9" t="s">
        <v>174</v>
      </c>
      <c r="B2" s="2"/>
      <c r="C2" s="2"/>
      <c r="D2" s="2"/>
      <c r="E2" s="2"/>
      <c r="F2" s="2"/>
    </row>
    <row r="3" spans="1:6" x14ac:dyDescent="0.25">
      <c r="A3" s="2"/>
      <c r="B3" s="2"/>
      <c r="C3" s="2"/>
      <c r="D3" s="2"/>
      <c r="E3" s="2"/>
      <c r="F3" s="2"/>
    </row>
    <row r="4" spans="1:6" x14ac:dyDescent="0.25">
      <c r="A4" s="7" t="s">
        <v>175</v>
      </c>
      <c r="B4" s="7" t="s">
        <v>47</v>
      </c>
      <c r="C4" s="7" t="s">
        <v>48</v>
      </c>
      <c r="D4" s="7" t="s">
        <v>49</v>
      </c>
      <c r="E4" s="7" t="s">
        <v>50</v>
      </c>
      <c r="F4" s="7" t="s">
        <v>176</v>
      </c>
    </row>
    <row r="5" spans="1:6" x14ac:dyDescent="0.25">
      <c r="A5" s="9" t="s">
        <v>177</v>
      </c>
      <c r="B5" s="22">
        <f>Hypothèses!B15</f>
        <v>100</v>
      </c>
      <c r="C5" s="22">
        <f>Hypothèses!C15</f>
        <v>500</v>
      </c>
      <c r="D5" s="22">
        <f>Hypothèses!D15</f>
        <v>1000</v>
      </c>
      <c r="E5" s="22">
        <f>Hypothèses!E15</f>
        <v>5000</v>
      </c>
      <c r="F5" s="2"/>
    </row>
    <row r="6" spans="1:6" x14ac:dyDescent="0.25">
      <c r="A6" s="9" t="s">
        <v>178</v>
      </c>
      <c r="B6" s="21">
        <f>Hypothèses!B14</f>
        <v>145</v>
      </c>
      <c r="C6" s="21">
        <f>Hypothèses!C14</f>
        <v>125</v>
      </c>
      <c r="D6" s="21">
        <f>Hypothèses!D14</f>
        <v>110</v>
      </c>
      <c r="E6" s="21">
        <f>Hypothèses!E14</f>
        <v>95</v>
      </c>
      <c r="F6" s="3" t="s">
        <v>179</v>
      </c>
    </row>
    <row r="7" spans="1:6" x14ac:dyDescent="0.25">
      <c r="A7" s="9" t="s">
        <v>180</v>
      </c>
      <c r="B7" s="21">
        <f>Hypothèses!$B$16/B5</f>
        <v>150</v>
      </c>
      <c r="C7" s="21">
        <f>Hypothèses!$B$16/C5</f>
        <v>30</v>
      </c>
      <c r="D7" s="21">
        <f>Hypothèses!$B$16/D5</f>
        <v>15</v>
      </c>
      <c r="E7" s="21">
        <f>Hypothèses!$B$16/E5</f>
        <v>3</v>
      </c>
      <c r="F7" s="2"/>
    </row>
    <row r="8" spans="1:6" x14ac:dyDescent="0.25">
      <c r="A8" s="9" t="s">
        <v>181</v>
      </c>
      <c r="B8" s="21">
        <f>Hypothèses!$B$17</f>
        <v>6</v>
      </c>
      <c r="C8" s="21">
        <f>Hypothèses!$B$17</f>
        <v>6</v>
      </c>
      <c r="D8" s="21">
        <f>Hypothèses!$B$17</f>
        <v>6</v>
      </c>
      <c r="E8" s="21">
        <f>Hypothèses!$B$17</f>
        <v>6</v>
      </c>
      <c r="F8" s="2"/>
    </row>
    <row r="9" spans="1:6" x14ac:dyDescent="0.25">
      <c r="A9" s="9" t="s">
        <v>182</v>
      </c>
      <c r="B9" s="21">
        <f>B6*Hypothèses!$B$18</f>
        <v>7.25</v>
      </c>
      <c r="C9" s="21">
        <f>C6*Hypothèses!$B$18</f>
        <v>6.25</v>
      </c>
      <c r="D9" s="21">
        <f>D6*Hypothèses!$B$18</f>
        <v>5.5</v>
      </c>
      <c r="E9" s="21">
        <f>E6*Hypothèses!$B$18</f>
        <v>4.75</v>
      </c>
      <c r="F9" s="2"/>
    </row>
    <row r="10" spans="1:6" x14ac:dyDescent="0.25">
      <c r="A10" s="9" t="s">
        <v>183</v>
      </c>
      <c r="B10" s="21">
        <f>Hypothèses!$B$19</f>
        <v>8</v>
      </c>
      <c r="C10" s="21">
        <f>Hypothèses!$B$19</f>
        <v>8</v>
      </c>
      <c r="D10" s="21">
        <f>Hypothèses!$B$19</f>
        <v>8</v>
      </c>
      <c r="E10" s="21">
        <f>Hypothèses!$B$19</f>
        <v>8</v>
      </c>
      <c r="F10" s="2"/>
    </row>
    <row r="11" spans="1:6" x14ac:dyDescent="0.25">
      <c r="A11" s="9" t="s">
        <v>184</v>
      </c>
      <c r="B11" s="21">
        <f>B6*Hypothèses!$B$20</f>
        <v>5.8</v>
      </c>
      <c r="C11" s="21">
        <f>C6*Hypothèses!$B$20</f>
        <v>5</v>
      </c>
      <c r="D11" s="21">
        <f>D6*Hypothèses!$B$20</f>
        <v>4.4000000000000004</v>
      </c>
      <c r="E11" s="21">
        <f>E6*Hypothèses!$B$20</f>
        <v>3.8000000000000003</v>
      </c>
      <c r="F11" s="2"/>
    </row>
    <row r="12" spans="1:6" x14ac:dyDescent="0.25">
      <c r="A12" s="26" t="s">
        <v>185</v>
      </c>
      <c r="B12" s="29">
        <f>SUM(B6:B11)</f>
        <v>322.05</v>
      </c>
      <c r="C12" s="29">
        <f>SUM(C6:C11)</f>
        <v>180.25</v>
      </c>
      <c r="D12" s="29">
        <f>SUM(D6:D11)</f>
        <v>148.9</v>
      </c>
      <c r="E12" s="29">
        <f>SUM(E6:E11)</f>
        <v>120.55</v>
      </c>
      <c r="F12" s="2"/>
    </row>
    <row r="13" spans="1:6" x14ac:dyDescent="0.25">
      <c r="A13" s="9" t="s">
        <v>186</v>
      </c>
      <c r="B13" s="25">
        <f>B12*Hypothèses!$B$5</f>
        <v>437.98800000000006</v>
      </c>
      <c r="C13" s="25">
        <f>C12*Hypothèses!$B$5</f>
        <v>245.14000000000001</v>
      </c>
      <c r="D13" s="25">
        <f>D12*Hypothèses!$B$5</f>
        <v>202.50400000000002</v>
      </c>
      <c r="E13" s="25">
        <f>E12*Hypothèses!$B$5</f>
        <v>163.94800000000001</v>
      </c>
      <c r="F13" s="3" t="s">
        <v>187</v>
      </c>
    </row>
    <row r="14" spans="1:6" x14ac:dyDescent="0.25">
      <c r="A14" s="9" t="s">
        <v>188</v>
      </c>
      <c r="B14" s="25">
        <f>Hypothèses!$B$21</f>
        <v>12</v>
      </c>
      <c r="C14" s="25">
        <f>Hypothèses!$B$21</f>
        <v>12</v>
      </c>
      <c r="D14" s="25">
        <f>Hypothèses!$B$21</f>
        <v>12</v>
      </c>
      <c r="E14" s="25">
        <f>Hypothèses!$B$21</f>
        <v>12</v>
      </c>
      <c r="F14" s="2"/>
    </row>
    <row r="15" spans="1:6" x14ac:dyDescent="0.25">
      <c r="A15" s="26" t="s">
        <v>189</v>
      </c>
      <c r="B15" s="30">
        <f>B13+B14</f>
        <v>449.98800000000006</v>
      </c>
      <c r="C15" s="30">
        <f>C13+C14</f>
        <v>257.14</v>
      </c>
      <c r="D15" s="30">
        <f>D13+D14</f>
        <v>214.50400000000002</v>
      </c>
      <c r="E15" s="30">
        <f>E13+E14</f>
        <v>175.94800000000001</v>
      </c>
      <c r="F15" s="2"/>
    </row>
    <row r="16" spans="1:6" x14ac:dyDescent="0.25">
      <c r="A16" s="2"/>
      <c r="B16" s="2"/>
      <c r="C16" s="2"/>
      <c r="D16" s="2"/>
      <c r="E16" s="2"/>
      <c r="F16" s="2"/>
    </row>
    <row r="17" spans="1:6" ht="18" customHeight="1" x14ac:dyDescent="0.25">
      <c r="A17" s="6" t="s">
        <v>190</v>
      </c>
      <c r="B17" s="2"/>
      <c r="C17" s="2"/>
      <c r="D17" s="2"/>
      <c r="E17" s="2"/>
      <c r="F17" s="2"/>
    </row>
    <row r="18" spans="1:6" ht="38.25" x14ac:dyDescent="0.25">
      <c r="A18" s="9" t="s">
        <v>191</v>
      </c>
      <c r="B18" s="25">
        <f>B15/(1-Hypothèses!$B$10-Hypothèses!$B$22-Hypothèses!$B$7)</f>
        <v>916.47250509164985</v>
      </c>
      <c r="C18" s="25">
        <f>C15/(1-Hypothèses!$B$10-Hypothèses!$B$22-Hypothèses!$B$7)</f>
        <v>523.70672097759677</v>
      </c>
      <c r="D18" s="25">
        <f>D15/(1-Hypothèses!$B$10-Hypothèses!$B$22-Hypothèses!$B$7)</f>
        <v>436.87169042769864</v>
      </c>
      <c r="E18" s="25">
        <f>E15/(1-Hypothèses!$B$10-Hypothèses!$B$22-Hypothèses!$B$7)</f>
        <v>358.34623217922609</v>
      </c>
      <c r="F18" s="3" t="s">
        <v>192</v>
      </c>
    </row>
    <row r="19" spans="1:6" x14ac:dyDescent="0.25">
      <c r="A19" s="26" t="s">
        <v>193</v>
      </c>
      <c r="B19" s="31">
        <f>CEILING(B18,50)-1</f>
        <v>949</v>
      </c>
      <c r="C19" s="31">
        <f>CEILING(C18,50)-1</f>
        <v>549</v>
      </c>
      <c r="D19" s="31">
        <f>CEILING(D18,50)-1</f>
        <v>449</v>
      </c>
      <c r="E19" s="31">
        <f>CEILING(E18,50)-1</f>
        <v>399</v>
      </c>
      <c r="F19" s="2"/>
    </row>
    <row r="20" spans="1:6" x14ac:dyDescent="0.25">
      <c r="A20" s="9" t="s">
        <v>194</v>
      </c>
      <c r="B20" s="25">
        <f>B19*(1+Hypothèses!$B$6)</f>
        <v>1091.11275</v>
      </c>
      <c r="C20" s="25">
        <f>C19*(1+Hypothèses!$B$6)</f>
        <v>631.21275000000003</v>
      </c>
      <c r="D20" s="25">
        <f>D19*(1+Hypothèses!$B$6)</f>
        <v>516.23775000000001</v>
      </c>
      <c r="E20" s="25">
        <f>E19*(1+Hypothèses!$B$6)</f>
        <v>458.75024999999999</v>
      </c>
      <c r="F20" s="2"/>
    </row>
    <row r="21" spans="1:6" x14ac:dyDescent="0.25">
      <c r="A21" s="9" t="s">
        <v>195</v>
      </c>
      <c r="B21" s="21">
        <f>B19/Hypothèses!$B$5</f>
        <v>697.79411764705878</v>
      </c>
      <c r="C21" s="21">
        <f>C19/Hypothèses!$B$5</f>
        <v>403.67647058823525</v>
      </c>
      <c r="D21" s="21">
        <f>D19/Hypothèses!$B$5</f>
        <v>330.14705882352939</v>
      </c>
      <c r="E21" s="21">
        <f>E19/Hypothèses!$B$5</f>
        <v>293.38235294117646</v>
      </c>
      <c r="F21" s="2"/>
    </row>
    <row r="22" spans="1:6" x14ac:dyDescent="0.25">
      <c r="A22" s="9" t="s">
        <v>196</v>
      </c>
      <c r="B22" s="25">
        <f>B19*Hypothèses!$B$7+Hypothèses!$B$8</f>
        <v>27.821000000000002</v>
      </c>
      <c r="C22" s="25">
        <f>C19*Hypothèses!$B$7+Hypothèses!$B$8</f>
        <v>16.221</v>
      </c>
      <c r="D22" s="25">
        <f>D19*Hypothèses!$B$7+Hypothèses!$B$8</f>
        <v>13.321000000000002</v>
      </c>
      <c r="E22" s="25">
        <f>E19*Hypothèses!$B$7+Hypothèses!$B$8</f>
        <v>11.871</v>
      </c>
      <c r="F22" s="2"/>
    </row>
    <row r="23" spans="1:6" x14ac:dyDescent="0.25">
      <c r="A23" s="9" t="s">
        <v>197</v>
      </c>
      <c r="B23" s="25">
        <f>B19*Hypothèses!$B$22</f>
        <v>28.47</v>
      </c>
      <c r="C23" s="25">
        <f>C19*Hypothèses!$B$22</f>
        <v>16.47</v>
      </c>
      <c r="D23" s="25">
        <f>D19*Hypothèses!$B$22</f>
        <v>13.469999999999999</v>
      </c>
      <c r="E23" s="25">
        <f>E19*Hypothèses!$B$22</f>
        <v>11.969999999999999</v>
      </c>
      <c r="F23" s="2"/>
    </row>
    <row r="24" spans="1:6" x14ac:dyDescent="0.25">
      <c r="A24" s="26" t="s">
        <v>198</v>
      </c>
      <c r="B24" s="27">
        <f>B19-B15-B22-B23</f>
        <v>442.72099999999989</v>
      </c>
      <c r="C24" s="27">
        <f>C19-C15-C22-C23</f>
        <v>259.16899999999998</v>
      </c>
      <c r="D24" s="27">
        <f>D19-D15-D22-D23</f>
        <v>207.70499999999998</v>
      </c>
      <c r="E24" s="27">
        <f>E19-E15-E22-E23</f>
        <v>199.21099999999998</v>
      </c>
      <c r="F24" s="2"/>
    </row>
    <row r="25" spans="1:6" x14ac:dyDescent="0.25">
      <c r="A25" s="26" t="s">
        <v>199</v>
      </c>
      <c r="B25" s="32">
        <f>IF(B19=0,0,B24/B19)</f>
        <v>0.46651317175974699</v>
      </c>
      <c r="C25" s="32">
        <f>IF(C19=0,0,C24/C19)</f>
        <v>0.47207468123861562</v>
      </c>
      <c r="D25" s="32">
        <f>IF(D19=0,0,D24/D19)</f>
        <v>0.46259465478841866</v>
      </c>
      <c r="E25" s="32">
        <f>IF(E19=0,0,E24/E19)</f>
        <v>0.49927568922305759</v>
      </c>
      <c r="F25" s="2"/>
    </row>
    <row r="26" spans="1:6" ht="25.5" x14ac:dyDescent="0.25">
      <c r="A26" s="9" t="s">
        <v>200</v>
      </c>
      <c r="B26" s="33">
        <f>B13*B5</f>
        <v>43798.8</v>
      </c>
      <c r="C26" s="33">
        <f>C13*C5</f>
        <v>122570.00000000001</v>
      </c>
      <c r="D26" s="33">
        <f>D13*D5</f>
        <v>202504.00000000003</v>
      </c>
      <c r="E26" s="33">
        <f>E13*E5</f>
        <v>819740</v>
      </c>
      <c r="F26" s="3" t="s">
        <v>201</v>
      </c>
    </row>
    <row r="27" spans="1:6" x14ac:dyDescent="0.25">
      <c r="A27" s="2"/>
      <c r="B27" s="2"/>
      <c r="C27" s="2"/>
      <c r="D27" s="2"/>
      <c r="E27" s="2"/>
      <c r="F27" s="2"/>
    </row>
    <row r="28" spans="1:6" ht="18" customHeight="1" x14ac:dyDescent="0.25">
      <c r="A28" s="6" t="s">
        <v>202</v>
      </c>
      <c r="B28" s="2"/>
      <c r="C28" s="2"/>
      <c r="D28" s="2"/>
      <c r="E28" s="2"/>
      <c r="F28" s="2"/>
    </row>
    <row r="29" spans="1:6" x14ac:dyDescent="0.25">
      <c r="A29" s="9" t="s">
        <v>203</v>
      </c>
      <c r="B29" s="34">
        <f>Hypothèses!$B$9</f>
        <v>500</v>
      </c>
      <c r="C29" s="2"/>
      <c r="D29" s="2"/>
      <c r="E29" s="2"/>
      <c r="F29" s="2"/>
    </row>
    <row r="30" spans="1:6" x14ac:dyDescent="0.25">
      <c r="A30" s="26" t="s">
        <v>204</v>
      </c>
      <c r="B30" s="31">
        <f>INDEX(B19:E19,MATCH(Hypothèses!$B$9,B5:E5,0))</f>
        <v>549</v>
      </c>
      <c r="C30" s="2"/>
      <c r="D30" s="2"/>
      <c r="E30" s="2"/>
      <c r="F30" s="2"/>
    </row>
    <row r="31" spans="1:6" x14ac:dyDescent="0.25">
      <c r="A31" s="9" t="s">
        <v>205</v>
      </c>
      <c r="B31" s="25">
        <f>INDEX(B15:E15,MATCH(Hypothèses!$B$9,B5:E5,0))</f>
        <v>257.14</v>
      </c>
      <c r="C31" s="2"/>
      <c r="D31" s="2"/>
      <c r="E31" s="2"/>
      <c r="F31" s="2"/>
    </row>
    <row r="32" spans="1:6" x14ac:dyDescent="0.25">
      <c r="A32" s="9" t="s">
        <v>206</v>
      </c>
      <c r="B32" s="25">
        <f>INDEX(B24:E24,MATCH(Hypothèses!$B$9,B5:E5,0))</f>
        <v>259.16899999999998</v>
      </c>
      <c r="C32" s="2"/>
      <c r="D32" s="2"/>
      <c r="E32" s="2"/>
      <c r="F32" s="2"/>
    </row>
    <row r="33" spans="1:6" x14ac:dyDescent="0.25">
      <c r="A33" s="9" t="s">
        <v>207</v>
      </c>
      <c r="B33" s="25">
        <f>'Coût lunettes'!$B$30*(1+Hypothèses!$B$6)</f>
        <v>631.21275000000003</v>
      </c>
      <c r="C33" s="2"/>
      <c r="D33" s="2"/>
      <c r="E33" s="2"/>
      <c r="F33" s="2"/>
    </row>
    <row r="34" spans="1:6" x14ac:dyDescent="0.25">
      <c r="A34" s="2"/>
      <c r="B34" s="2"/>
      <c r="C34" s="2"/>
      <c r="D34" s="2"/>
      <c r="E34" s="2"/>
      <c r="F34" s="2"/>
    </row>
    <row r="35" spans="1:6" ht="18" customHeight="1" x14ac:dyDescent="0.25">
      <c r="A35" s="6" t="s">
        <v>208</v>
      </c>
      <c r="B35" s="2"/>
      <c r="C35" s="2"/>
      <c r="D35" s="2"/>
      <c r="E35" s="2"/>
      <c r="F35" s="2"/>
    </row>
    <row r="36" spans="1:6" ht="30" x14ac:dyDescent="0.25">
      <c r="A36" s="7" t="s">
        <v>67</v>
      </c>
      <c r="B36" s="7" t="s">
        <v>68</v>
      </c>
      <c r="C36" s="7" t="s">
        <v>209</v>
      </c>
      <c r="D36" s="7" t="s">
        <v>210</v>
      </c>
      <c r="E36" s="2"/>
      <c r="F36" s="2"/>
    </row>
    <row r="37" spans="1:6" x14ac:dyDescent="0.25">
      <c r="A37" s="35" t="str">
        <f>Hypothèses!A26</f>
        <v>Meta Glasses (sans marque Ray-Ban, juin 2026)</v>
      </c>
      <c r="B37" s="24">
        <f>Hypothèses!B26</f>
        <v>299</v>
      </c>
      <c r="C37" s="25">
        <f>B37*Hypothèses!$B$5</f>
        <v>406.64000000000004</v>
      </c>
      <c r="D37" s="36">
        <f>IF(C37=0,0,'Coût lunettes'!$B$30/C37-1)</f>
        <v>0.35008853039543553</v>
      </c>
      <c r="E37" s="2"/>
      <c r="F37" s="2"/>
    </row>
    <row r="38" spans="1:6" x14ac:dyDescent="0.25">
      <c r="A38" s="35" t="str">
        <f>Hypothèses!A27</f>
        <v>Ray-Ban Meta (Gen 2/3)</v>
      </c>
      <c r="B38" s="24">
        <f>Hypothèses!B27</f>
        <v>379</v>
      </c>
      <c r="C38" s="25">
        <f>B38*Hypothèses!$B$5</f>
        <v>515.44000000000005</v>
      </c>
      <c r="D38" s="36">
        <f>IF(C38=0,0,'Coût lunettes'!$B$30/C38-1)</f>
        <v>6.5109421077137908E-2</v>
      </c>
      <c r="E38" s="2"/>
      <c r="F38" s="2"/>
    </row>
    <row r="39" spans="1:6" x14ac:dyDescent="0.25">
      <c r="A39" s="35" t="str">
        <f>Hypothèses!A28</f>
        <v>Ray-Ban Meta prescription (optique)</v>
      </c>
      <c r="B39" s="24">
        <f>Hypothèses!B28</f>
        <v>499</v>
      </c>
      <c r="C39" s="25">
        <f>B39*Hypothèses!$B$5</f>
        <v>678.6400000000001</v>
      </c>
      <c r="D39" s="36">
        <f>IF(C39=0,0,'Coût lunettes'!$B$30/C39-1)</f>
        <v>-0.1910291170576448</v>
      </c>
      <c r="E39" s="2"/>
      <c r="F39" s="2"/>
    </row>
    <row r="40" spans="1:6" x14ac:dyDescent="0.25">
      <c r="A40" s="35" t="str">
        <f>Hypothèses!A29</f>
        <v>Meta Ray-Ban Display (avec écran)</v>
      </c>
      <c r="B40" s="24">
        <f>Hypothèses!B29</f>
        <v>799</v>
      </c>
      <c r="C40" s="25">
        <f>B40*Hypothèses!$B$5</f>
        <v>1086.6400000000001</v>
      </c>
      <c r="D40" s="36">
        <f>IF(C40=0,0,'Coût lunettes'!$B$30/C40-1)</f>
        <v>-0.4947728778620335</v>
      </c>
      <c r="E40" s="2"/>
      <c r="F40" s="2"/>
    </row>
    <row r="41" spans="1:6" x14ac:dyDescent="0.25">
      <c r="A41" s="35" t="str">
        <f>Hypothèses!A30</f>
        <v>Snap Specs (AR, autonome)</v>
      </c>
      <c r="B41" s="24">
        <f>Hypothèses!B30</f>
        <v>2195</v>
      </c>
      <c r="C41" s="25">
        <f>B41*Hypothèses!$B$5</f>
        <v>2985.2000000000003</v>
      </c>
      <c r="D41" s="36">
        <f>IF(C41=0,0,'Coût lunettes'!$B$30/C41-1)</f>
        <v>-0.81609272410558753</v>
      </c>
      <c r="E41" s="2"/>
      <c r="F41" s="2"/>
    </row>
    <row r="42" spans="1:6" x14ac:dyDescent="0.25">
      <c r="A42" s="26" t="s">
        <v>211</v>
      </c>
      <c r="B42" s="29">
        <f>'Coût lunettes'!$B$30/Hypothèses!$B$5</f>
        <v>403.67647058823525</v>
      </c>
      <c r="C42" s="27">
        <f>'Coût lunettes'!$B$30</f>
        <v>549</v>
      </c>
      <c r="D42" s="2"/>
      <c r="E42" s="2"/>
      <c r="F42" s="2"/>
    </row>
    <row r="43" spans="1:6" x14ac:dyDescent="0.25">
      <c r="A43" s="2"/>
      <c r="B43" s="2"/>
      <c r="C43" s="2"/>
      <c r="D43" s="2"/>
      <c r="E43" s="2"/>
      <c r="F43" s="2"/>
    </row>
    <row r="44" spans="1:6" ht="45" customHeight="1" x14ac:dyDescent="0.25">
      <c r="A44" s="49" t="s">
        <v>212</v>
      </c>
      <c r="B44" s="47"/>
      <c r="C44" s="47"/>
      <c r="D44" s="47"/>
      <c r="E44" s="47"/>
      <c r="F44" s="47"/>
    </row>
  </sheetData>
  <mergeCells count="2">
    <mergeCell ref="A44:F4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9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56" customWidth="1"/>
    <col min="2" max="4" width="16" customWidth="1"/>
    <col min="5" max="5" width="50" customWidth="1"/>
  </cols>
  <sheetData>
    <row r="1" spans="1:5" ht="18" x14ac:dyDescent="0.25">
      <c r="A1" s="46" t="s">
        <v>213</v>
      </c>
      <c r="B1" s="47"/>
      <c r="C1" s="47"/>
      <c r="D1" s="47"/>
      <c r="E1" s="47"/>
    </row>
    <row r="2" spans="1:5" x14ac:dyDescent="0.25">
      <c r="A2" s="9" t="s">
        <v>214</v>
      </c>
      <c r="B2" s="2"/>
      <c r="C2" s="2"/>
      <c r="D2" s="2"/>
      <c r="E2" s="2"/>
    </row>
    <row r="3" spans="1:5" x14ac:dyDescent="0.25">
      <c r="A3" s="2"/>
      <c r="B3" s="2"/>
      <c r="C3" s="2"/>
      <c r="D3" s="2"/>
      <c r="E3" s="2"/>
    </row>
    <row r="4" spans="1:5" x14ac:dyDescent="0.25">
      <c r="A4" s="7" t="s">
        <v>46</v>
      </c>
      <c r="B4" s="7" t="s">
        <v>135</v>
      </c>
      <c r="C4" s="7" t="s">
        <v>136</v>
      </c>
      <c r="D4" s="7" t="s">
        <v>137</v>
      </c>
      <c r="E4" s="7" t="s">
        <v>138</v>
      </c>
    </row>
    <row r="5" spans="1:5" x14ac:dyDescent="0.25">
      <c r="A5" s="9" t="s">
        <v>215</v>
      </c>
      <c r="B5" s="22">
        <f>Hypothèses!B65*Hypothèses!B66</f>
        <v>160</v>
      </c>
      <c r="C5" s="22">
        <f>Hypothèses!C65*Hypothèses!C66</f>
        <v>520</v>
      </c>
      <c r="D5" s="22">
        <f>Hypothèses!D65*Hypothèses!D66</f>
        <v>1200</v>
      </c>
      <c r="E5" s="2"/>
    </row>
    <row r="6" spans="1:5" x14ac:dyDescent="0.25">
      <c r="A6" s="9" t="s">
        <v>216</v>
      </c>
      <c r="B6" s="22">
        <f>B5*Hypothèses!B67</f>
        <v>400000</v>
      </c>
      <c r="C6" s="22">
        <f>C5*Hypothèses!C67</f>
        <v>1560000</v>
      </c>
      <c r="D6" s="22">
        <f>D5*Hypothèses!D67</f>
        <v>4200000</v>
      </c>
      <c r="E6" s="2"/>
    </row>
    <row r="7" spans="1:5" x14ac:dyDescent="0.25">
      <c r="A7" s="9" t="s">
        <v>217</v>
      </c>
      <c r="B7" s="22">
        <f>B5*Hypothèses!B71*Hypothèses!$B$44</f>
        <v>12800</v>
      </c>
      <c r="C7" s="22">
        <f>C5*Hypothèses!C71*Hypothèses!$B$44</f>
        <v>83200</v>
      </c>
      <c r="D7" s="22">
        <f>D5*Hypothèses!D71*Hypothèses!$B$44</f>
        <v>384000</v>
      </c>
      <c r="E7" s="2"/>
    </row>
    <row r="8" spans="1:5" x14ac:dyDescent="0.25">
      <c r="A8" s="9" t="s">
        <v>218</v>
      </c>
      <c r="B8" s="22">
        <f>B5*Hypothèses!B68</f>
        <v>12800</v>
      </c>
      <c r="C8" s="22">
        <f>C5*Hypothèses!C68</f>
        <v>62400</v>
      </c>
      <c r="D8" s="22">
        <f>D5*Hypothèses!D68</f>
        <v>192000</v>
      </c>
      <c r="E8" s="2"/>
    </row>
    <row r="9" spans="1:5" x14ac:dyDescent="0.25">
      <c r="A9" s="2"/>
      <c r="B9" s="2"/>
      <c r="C9" s="2"/>
      <c r="D9" s="2"/>
      <c r="E9" s="2"/>
    </row>
    <row r="10" spans="1:5" ht="18" customHeight="1" x14ac:dyDescent="0.25">
      <c r="A10" s="6" t="s">
        <v>219</v>
      </c>
      <c r="B10" s="2"/>
      <c r="C10" s="2"/>
      <c r="D10" s="2"/>
      <c r="E10" s="2"/>
    </row>
    <row r="11" spans="1:5" x14ac:dyDescent="0.25">
      <c r="A11" s="9" t="s">
        <v>86</v>
      </c>
      <c r="B11" s="25">
        <f>((B6+B7)*Hypothèses!$B$34+B8*Hypothèses!$C$34)/1000000*Hypothèses!$B$5</f>
        <v>0</v>
      </c>
      <c r="C11" s="25">
        <f>((C6+C7)*Hypothèses!$B$34+C8*Hypothèses!$C$34)/1000000*Hypothèses!$B$5</f>
        <v>0</v>
      </c>
      <c r="D11" s="25">
        <f>((D6+D7)*Hypothèses!$B$34+D8*Hypothèses!$C$34)/1000000*Hypothèses!$B$5</f>
        <v>0</v>
      </c>
      <c r="E11" s="2"/>
    </row>
    <row r="12" spans="1:5" x14ac:dyDescent="0.25">
      <c r="A12" s="9" t="s">
        <v>88</v>
      </c>
      <c r="B12" s="25">
        <f>((B6+B7)*Hypothèses!$B$35+B8*Hypothèses!$C$35)/1000000*Hypothèses!$B$5</f>
        <v>0.21194240000000003</v>
      </c>
      <c r="C12" s="25">
        <f>((C6+C7)*Hypothèses!$B$35+C8*Hypothèses!$C$35)/1000000*Hypothèses!$B$5</f>
        <v>0.88258560000000008</v>
      </c>
      <c r="D12" s="25">
        <f>((D6+D7)*Hypothèses!$B$35+D8*Hypothèses!$C$35)/1000000*Hypothèses!$B$5</f>
        <v>2.523072</v>
      </c>
      <c r="E12" s="2"/>
    </row>
    <row r="13" spans="1:5" x14ac:dyDescent="0.25">
      <c r="A13" s="9" t="s">
        <v>90</v>
      </c>
      <c r="B13" s="25">
        <f>((B6+B7)*Hypothèses!$B$36+B8*Hypothèses!$C$36)/1000000*Hypothèses!$B$5</f>
        <v>0.48633599999999999</v>
      </c>
      <c r="C13" s="25">
        <f>((C6+C7)*Hypothèses!$B$36+C8*Hypothèses!$C$36)/1000000*Hypothèses!$B$5</f>
        <v>1.9943040000000001</v>
      </c>
      <c r="D13" s="25">
        <f>((D6+D7)*Hypothèses!$B$36+D8*Hypothèses!$C$36)/1000000*Hypothèses!$B$5</f>
        <v>5.6548800000000012</v>
      </c>
      <c r="E13" s="2"/>
    </row>
    <row r="14" spans="1:5" x14ac:dyDescent="0.25">
      <c r="A14" s="9" t="s">
        <v>92</v>
      </c>
      <c r="B14" s="25">
        <f>((B6+B7)*Hypothèses!$B$37+B8*Hypothèses!$C$37)/1000000*Hypothèses!$B$5</f>
        <v>0.87584000000000006</v>
      </c>
      <c r="C14" s="25">
        <f>((C6+C7)*Hypothèses!$B$37+C8*Hypothèses!$C$37)/1000000*Hypothèses!$B$5</f>
        <v>3.64208</v>
      </c>
      <c r="D14" s="25">
        <f>((D6+D7)*Hypothèses!$B$37+D8*Hypothèses!$C$37)/1000000*Hypothèses!$B$5</f>
        <v>10.404000000000002</v>
      </c>
      <c r="E14" s="2"/>
    </row>
    <row r="15" spans="1:5" x14ac:dyDescent="0.25">
      <c r="A15" s="9" t="s">
        <v>94</v>
      </c>
      <c r="B15" s="25">
        <f>((B6+B7)*Hypothèses!$B$38+B8*Hypothèses!$C$38)/1000000*Hypothèses!$B$5</f>
        <v>0.17516800000000002</v>
      </c>
      <c r="C15" s="25">
        <f>((C6+C7)*Hypothèses!$B$38+C8*Hypothèses!$C$38)/1000000*Hypothèses!$B$5</f>
        <v>0.72841599999999995</v>
      </c>
      <c r="D15" s="25">
        <f>((D6+D7)*Hypothèses!$B$38+D8*Hypothèses!$C$38)/1000000*Hypothèses!$B$5</f>
        <v>2.0808</v>
      </c>
      <c r="E15" s="2"/>
    </row>
    <row r="16" spans="1:5" x14ac:dyDescent="0.25">
      <c r="A16" s="9" t="s">
        <v>96</v>
      </c>
      <c r="B16" s="25">
        <f>((B6+B7)*Hypothèses!$B$39+B8*Hypothèses!$C$39)/1000000*Hypothèses!$B$5</f>
        <v>0.87584000000000006</v>
      </c>
      <c r="C16" s="25">
        <f>((C6+C7)*Hypothèses!$B$39+C8*Hypothèses!$C$39)/1000000*Hypothèses!$B$5</f>
        <v>3.64208</v>
      </c>
      <c r="D16" s="25">
        <f>((D6+D7)*Hypothèses!$B$39+D8*Hypothèses!$C$39)/1000000*Hypothèses!$B$5</f>
        <v>10.404000000000002</v>
      </c>
      <c r="E16" s="2"/>
    </row>
    <row r="17" spans="1:5" x14ac:dyDescent="0.25">
      <c r="A17" s="9" t="s">
        <v>98</v>
      </c>
      <c r="B17" s="25">
        <f>((B6+B7)*Hypothèses!$B$40+B8*Hypothèses!$C$40)/1000000*Hypothèses!$B$5</f>
        <v>0.64844800000000002</v>
      </c>
      <c r="C17" s="25">
        <f>((C6+C7)*Hypothèses!$B$40+C8*Hypothèses!$C$40)/1000000*Hypothèses!$B$5</f>
        <v>2.6590720000000001</v>
      </c>
      <c r="D17" s="25">
        <f>((D6+D7)*Hypothèses!$B$40+D8*Hypothèses!$C$40)/1000000*Hypothèses!$B$5</f>
        <v>7.5398399999999999</v>
      </c>
      <c r="E17" s="2"/>
    </row>
    <row r="18" spans="1:5" x14ac:dyDescent="0.25">
      <c r="A18" s="9" t="s">
        <v>100</v>
      </c>
      <c r="B18" s="25">
        <f>((B6+B7)*Hypothèses!$B$41+B8*Hypothèses!$C$41)/1000000*Hypothèses!$B$5</f>
        <v>1.296896</v>
      </c>
      <c r="C18" s="25">
        <f>((C6+C7)*Hypothèses!$B$41+C8*Hypothèses!$C$41)/1000000*Hypothèses!$B$5</f>
        <v>5.3181440000000002</v>
      </c>
      <c r="D18" s="25">
        <f>((D6+D7)*Hypothèses!$B$41+D8*Hypothèses!$C$41)/1000000*Hypothèses!$B$5</f>
        <v>15.07968</v>
      </c>
      <c r="E18" s="2"/>
    </row>
    <row r="19" spans="1:5" x14ac:dyDescent="0.25">
      <c r="A19" s="9" t="s">
        <v>102</v>
      </c>
      <c r="B19" s="25">
        <f>((B6+B7)*Hypothèses!$B$42+B8*Hypothèses!$C$42)/1000000*Hypothèses!$B$5</f>
        <v>3.2422400000000002</v>
      </c>
      <c r="C19" s="25">
        <f>((C6+C7)*Hypothèses!$B$42+C8*Hypothèses!$C$42)/1000000*Hypothèses!$B$5</f>
        <v>13.295360000000001</v>
      </c>
      <c r="D19" s="25">
        <f>((D6+D7)*Hypothèses!$B$42+D8*Hypothèses!$C$42)/1000000*Hypothèses!$B$5</f>
        <v>37.699200000000005</v>
      </c>
      <c r="E19" s="2"/>
    </row>
    <row r="20" spans="1:5" x14ac:dyDescent="0.25">
      <c r="A20" s="9" t="s">
        <v>104</v>
      </c>
      <c r="B20" s="25">
        <f>((B6+B7)*Hypothèses!$B$43+B8*Hypothèses!$C$43)/1000000*Hypothèses!$B$5</f>
        <v>6.4844800000000005</v>
      </c>
      <c r="C20" s="25">
        <f>((C6+C7)*Hypothèses!$B$43+C8*Hypothèses!$C$43)/1000000*Hypothèses!$B$5</f>
        <v>26.590720000000001</v>
      </c>
      <c r="D20" s="25">
        <f>((D6+D7)*Hypothèses!$B$43+D8*Hypothèses!$C$43)/1000000*Hypothèses!$B$5</f>
        <v>75.398400000000009</v>
      </c>
      <c r="E20" s="2"/>
    </row>
    <row r="21" spans="1:5" x14ac:dyDescent="0.25">
      <c r="A21" s="2"/>
      <c r="B21" s="2"/>
      <c r="C21" s="2"/>
      <c r="D21" s="2"/>
      <c r="E21" s="2"/>
    </row>
    <row r="22" spans="1:5" ht="18" customHeight="1" x14ac:dyDescent="0.25">
      <c r="A22" s="6" t="s">
        <v>220</v>
      </c>
      <c r="B22" s="2"/>
      <c r="C22" s="2"/>
      <c r="D22" s="2"/>
      <c r="E22" s="2"/>
    </row>
    <row r="23" spans="1:5" x14ac:dyDescent="0.25">
      <c r="A23" s="9" t="s">
        <v>221</v>
      </c>
      <c r="B23" s="22">
        <f>B5*Hypothèses!B69</f>
        <v>24000</v>
      </c>
      <c r="C23" s="22">
        <f>C5*Hypothèses!C69</f>
        <v>104000</v>
      </c>
      <c r="D23" s="22">
        <f>D5*Hypothèses!D69</f>
        <v>312000</v>
      </c>
      <c r="E23" s="2"/>
    </row>
    <row r="24" spans="1:5" x14ac:dyDescent="0.25">
      <c r="A24" s="9" t="s">
        <v>222</v>
      </c>
      <c r="B24" s="22">
        <f>B23*Hypothèses!$B$58</f>
        <v>12000</v>
      </c>
      <c r="C24" s="22">
        <f>C23*Hypothèses!$B$58</f>
        <v>52000</v>
      </c>
      <c r="D24" s="22">
        <f>D23*Hypothèses!$B$58</f>
        <v>156000</v>
      </c>
      <c r="E24" s="2"/>
    </row>
    <row r="25" spans="1:5" ht="25.5" x14ac:dyDescent="0.25">
      <c r="A25" s="26" t="s">
        <v>223</v>
      </c>
      <c r="B25" s="27">
        <f>B24/1000*Hypothèses!$B$57*Hypothèses!$B$5</f>
        <v>2.7109333333333332</v>
      </c>
      <c r="C25" s="27">
        <f>C24/1000*Hypothèses!$B$57*Hypothèses!$B$5</f>
        <v>11.747377777777778</v>
      </c>
      <c r="D25" s="27">
        <f>D24/1000*Hypothèses!$B$57*Hypothèses!$B$5</f>
        <v>35.242133333333335</v>
      </c>
      <c r="E25" s="3" t="s">
        <v>224</v>
      </c>
    </row>
    <row r="26" spans="1:5" x14ac:dyDescent="0.25">
      <c r="A26" s="9" t="s">
        <v>225</v>
      </c>
      <c r="B26" s="25">
        <f>B23/1000*Hypothèses!$B$59*Hypothèses!$B$5</f>
        <v>0.48960000000000004</v>
      </c>
      <c r="C26" s="25">
        <f>C23/1000*Hypothèses!$B$59*Hypothèses!$B$5</f>
        <v>2.1216000000000004</v>
      </c>
      <c r="D26" s="25">
        <f>D23/1000*Hypothèses!$B$59*Hypothèses!$B$5</f>
        <v>6.3647999999999998</v>
      </c>
      <c r="E26" s="3" t="s">
        <v>226</v>
      </c>
    </row>
    <row r="27" spans="1:5" x14ac:dyDescent="0.25">
      <c r="A27" s="9" t="s">
        <v>227</v>
      </c>
      <c r="B27" s="22">
        <f>IF(B24=0,0,Hypothèses!$B$56/B24)</f>
        <v>150</v>
      </c>
      <c r="C27" s="22">
        <f>IF(C24=0,0,Hypothèses!$B$56/C24)</f>
        <v>34.615384615384613</v>
      </c>
      <c r="D27" s="22">
        <f>IF(D24=0,0,Hypothèses!$B$56/D24)</f>
        <v>11.538461538461538</v>
      </c>
      <c r="E27" s="3" t="s">
        <v>228</v>
      </c>
    </row>
    <row r="28" spans="1:5" x14ac:dyDescent="0.25">
      <c r="A28" s="2"/>
      <c r="B28" s="2"/>
      <c r="C28" s="2"/>
      <c r="D28" s="2"/>
      <c r="E28" s="2"/>
    </row>
    <row r="29" spans="1:5" ht="18" customHeight="1" x14ac:dyDescent="0.25">
      <c r="A29" s="6" t="s">
        <v>229</v>
      </c>
      <c r="B29" s="2"/>
      <c r="C29" s="2"/>
      <c r="D29" s="2"/>
      <c r="E29" s="2"/>
    </row>
    <row r="30" spans="1:5" x14ac:dyDescent="0.25">
      <c r="A30" s="9" t="s">
        <v>230</v>
      </c>
      <c r="B30" s="37">
        <f>B5*Hypothèses!B70*Hypothèses!$B$61</f>
        <v>4.8</v>
      </c>
      <c r="C30" s="37">
        <f>C5*Hypothèses!C70*Hypothèses!$B$61</f>
        <v>18.72</v>
      </c>
      <c r="D30" s="37">
        <f>D5*Hypothèses!D70*Hypothèses!$B$61</f>
        <v>54</v>
      </c>
      <c r="E30" s="3" t="s">
        <v>231</v>
      </c>
    </row>
    <row r="31" spans="1:5" x14ac:dyDescent="0.25">
      <c r="A31" s="26" t="s">
        <v>232</v>
      </c>
      <c r="B31" s="27">
        <f>B30*Hypothèses!$B$60*Hypothèses!$B$5</f>
        <v>0.104448</v>
      </c>
      <c r="C31" s="27">
        <f>C30*Hypothèses!$B$60*Hypothèses!$B$5</f>
        <v>0.40734720000000002</v>
      </c>
      <c r="D31" s="27">
        <f>D30*Hypothèses!$B$60*Hypothèses!$B$5</f>
        <v>1.1750400000000001</v>
      </c>
      <c r="E31" s="2"/>
    </row>
    <row r="32" spans="1:5" x14ac:dyDescent="0.25">
      <c r="A32" s="2"/>
      <c r="B32" s="2"/>
      <c r="C32" s="2"/>
      <c r="D32" s="2"/>
      <c r="E32" s="2"/>
    </row>
    <row r="33" spans="1:5" ht="18" customHeight="1" x14ac:dyDescent="0.25">
      <c r="A33" s="6" t="s">
        <v>233</v>
      </c>
      <c r="B33" s="2"/>
      <c r="C33" s="2"/>
      <c r="D33" s="2"/>
      <c r="E33" s="2"/>
    </row>
    <row r="34" spans="1:5" x14ac:dyDescent="0.25">
      <c r="A34" s="26" t="s">
        <v>234</v>
      </c>
      <c r="B34" s="30">
        <f>B11*1</f>
        <v>0</v>
      </c>
      <c r="C34" s="30">
        <f>C11*1</f>
        <v>0</v>
      </c>
      <c r="D34" s="30">
        <f>D11*1</f>
        <v>0</v>
      </c>
      <c r="E34" s="2"/>
    </row>
    <row r="35" spans="1:5" x14ac:dyDescent="0.25">
      <c r="A35" s="26" t="s">
        <v>235</v>
      </c>
      <c r="B35" s="30">
        <f>B12*0.7+B15*0.3+B25+B31</f>
        <v>3.0162914133333332</v>
      </c>
      <c r="C35" s="30">
        <f>C12*0.7+C15*0.3+C25+C31</f>
        <v>12.991059697777779</v>
      </c>
      <c r="D35" s="30">
        <f>D12*0.7+D15*0.3+D25+D31</f>
        <v>38.807563733333339</v>
      </c>
      <c r="E35" s="2"/>
    </row>
    <row r="36" spans="1:5" x14ac:dyDescent="0.25">
      <c r="A36" s="26" t="s">
        <v>236</v>
      </c>
      <c r="B36" s="30">
        <f>B18*0.6+B12*0.3+B16*0.1+B25+B31</f>
        <v>3.7446856533333333</v>
      </c>
      <c r="C36" s="30">
        <f>C18*0.6+C12*0.3+C16*0.1+C25+C31</f>
        <v>15.97459505777778</v>
      </c>
      <c r="D36" s="30">
        <f>D18*0.6+D12*0.3+D16*0.1+D25+D31</f>
        <v>47.262302933333338</v>
      </c>
      <c r="E36" s="2"/>
    </row>
    <row r="37" spans="1:5" x14ac:dyDescent="0.25">
      <c r="A37" s="26" t="s">
        <v>237</v>
      </c>
      <c r="B37" s="30">
        <f>B19*0.5+B18*0.3+B16*0.2+B25+B31</f>
        <v>5.0007381333333329</v>
      </c>
      <c r="C37" s="30">
        <f>C19*0.5+C18*0.3+C16*0.2+C25+C31</f>
        <v>21.126264177777777</v>
      </c>
      <c r="D37" s="30">
        <f>D19*0.5+D18*0.3+D16*0.2+D25+D31</f>
        <v>61.871477333333338</v>
      </c>
      <c r="E37" s="2"/>
    </row>
    <row r="38" spans="1:5" x14ac:dyDescent="0.25">
      <c r="A38" s="2"/>
      <c r="B38" s="2"/>
      <c r="C38" s="2"/>
      <c r="D38" s="2"/>
      <c r="E38" s="2"/>
    </row>
    <row r="39" spans="1:5" ht="45" customHeight="1" x14ac:dyDescent="0.25">
      <c r="A39" s="49" t="s">
        <v>238</v>
      </c>
      <c r="B39" s="47"/>
      <c r="C39" s="47"/>
      <c r="D39" s="47"/>
      <c r="E39" s="47"/>
    </row>
  </sheetData>
  <mergeCells count="2">
    <mergeCell ref="A39:E39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6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46" customWidth="1"/>
    <col min="2" max="5" width="22" customWidth="1"/>
    <col min="6" max="6" width="44" customWidth="1"/>
  </cols>
  <sheetData>
    <row r="1" spans="1:6" ht="18" x14ac:dyDescent="0.25">
      <c r="A1" s="46" t="s">
        <v>239</v>
      </c>
      <c r="B1" s="47"/>
      <c r="C1" s="47"/>
      <c r="D1" s="47"/>
      <c r="E1" s="47"/>
      <c r="F1" s="47"/>
    </row>
    <row r="2" spans="1:6" x14ac:dyDescent="0.25">
      <c r="A2" s="9" t="s">
        <v>240</v>
      </c>
      <c r="B2" s="2"/>
      <c r="C2" s="2"/>
      <c r="D2" s="2"/>
      <c r="E2" s="2"/>
      <c r="F2" s="2"/>
    </row>
    <row r="3" spans="1:6" x14ac:dyDescent="0.25">
      <c r="A3" s="2"/>
      <c r="B3" s="2"/>
      <c r="C3" s="2"/>
      <c r="D3" s="2"/>
      <c r="E3" s="2"/>
      <c r="F3" s="2"/>
    </row>
    <row r="4" spans="1:6" x14ac:dyDescent="0.25">
      <c r="A4" s="7"/>
      <c r="B4" s="7" t="s">
        <v>241</v>
      </c>
      <c r="C4" s="7" t="s">
        <v>242</v>
      </c>
      <c r="D4" s="7" t="s">
        <v>243</v>
      </c>
      <c r="E4" s="7" t="s">
        <v>244</v>
      </c>
      <c r="F4" s="7" t="s">
        <v>138</v>
      </c>
    </row>
    <row r="5" spans="1:6" ht="38.25" x14ac:dyDescent="0.25">
      <c r="A5" s="26" t="s">
        <v>245</v>
      </c>
      <c r="B5" s="28">
        <v>0</v>
      </c>
      <c r="C5" s="28">
        <v>19.989999999999998</v>
      </c>
      <c r="D5" s="28">
        <v>29.99</v>
      </c>
      <c r="E5" s="28">
        <v>99.99</v>
      </c>
      <c r="F5" s="3" t="s">
        <v>246</v>
      </c>
    </row>
    <row r="6" spans="1:6" x14ac:dyDescent="0.25">
      <c r="A6" s="9" t="s">
        <v>247</v>
      </c>
      <c r="B6" s="25">
        <f>B5*10</f>
        <v>0</v>
      </c>
      <c r="C6" s="25">
        <f>C5*10</f>
        <v>199.89999999999998</v>
      </c>
      <c r="D6" s="25">
        <f>D5*10</f>
        <v>299.89999999999998</v>
      </c>
      <c r="E6" s="25">
        <f>E5*10</f>
        <v>999.9</v>
      </c>
      <c r="F6" s="2"/>
    </row>
    <row r="7" spans="1:6" x14ac:dyDescent="0.25">
      <c r="A7" s="9" t="s">
        <v>248</v>
      </c>
      <c r="B7" s="38" t="s">
        <v>135</v>
      </c>
      <c r="C7" s="38" t="s">
        <v>136</v>
      </c>
      <c r="D7" s="38" t="s">
        <v>136</v>
      </c>
      <c r="E7" s="38" t="s">
        <v>137</v>
      </c>
      <c r="F7" s="2"/>
    </row>
    <row r="8" spans="1:6" x14ac:dyDescent="0.25">
      <c r="A8" s="9" t="s">
        <v>249</v>
      </c>
      <c r="B8" s="39" t="s">
        <v>250</v>
      </c>
      <c r="C8" s="39" t="s">
        <v>251</v>
      </c>
      <c r="D8" s="39" t="s">
        <v>117</v>
      </c>
      <c r="E8" s="39" t="s">
        <v>252</v>
      </c>
      <c r="F8" s="2"/>
    </row>
    <row r="9" spans="1:6" ht="25.5" x14ac:dyDescent="0.25">
      <c r="A9" s="9" t="s">
        <v>253</v>
      </c>
      <c r="B9" s="16">
        <v>150</v>
      </c>
      <c r="C9" s="16">
        <v>500</v>
      </c>
      <c r="D9" s="16">
        <v>800</v>
      </c>
      <c r="E9" s="16">
        <v>1500</v>
      </c>
      <c r="F9" s="3" t="s">
        <v>254</v>
      </c>
    </row>
    <row r="10" spans="1:6" ht="110.1" customHeight="1" x14ac:dyDescent="0.25">
      <c r="A10" s="26" t="s">
        <v>255</v>
      </c>
      <c r="B10" s="40" t="s">
        <v>256</v>
      </c>
      <c r="C10" s="40" t="s">
        <v>257</v>
      </c>
      <c r="D10" s="40" t="s">
        <v>258</v>
      </c>
      <c r="E10" s="40" t="s">
        <v>259</v>
      </c>
      <c r="F10" s="2"/>
    </row>
    <row r="11" spans="1:6" x14ac:dyDescent="0.25">
      <c r="A11" s="2"/>
      <c r="B11" s="2"/>
      <c r="C11" s="2"/>
      <c r="D11" s="2"/>
      <c r="E11" s="2"/>
      <c r="F11" s="2"/>
    </row>
    <row r="12" spans="1:6" ht="18" customHeight="1" x14ac:dyDescent="0.25">
      <c r="A12" s="6" t="s">
        <v>260</v>
      </c>
      <c r="B12" s="2"/>
      <c r="C12" s="2"/>
      <c r="D12" s="2"/>
      <c r="E12" s="2"/>
      <c r="F12" s="2"/>
    </row>
    <row r="13" spans="1:6" x14ac:dyDescent="0.25">
      <c r="A13" s="9" t="s">
        <v>261</v>
      </c>
      <c r="B13" s="41">
        <f>INDEX('Coût API par utilisateur'!$B$34:$D$34,1,MATCH(B7,'Coût API par utilisateur'!$B$4:$D$4,0))</f>
        <v>0</v>
      </c>
      <c r="C13" s="41">
        <f>INDEX('Coût API par utilisateur'!$B$35:$D$35,1,MATCH(C7,'Coût API par utilisateur'!$B$4:$D$4,0))</f>
        <v>12.991059697777779</v>
      </c>
      <c r="D13" s="41">
        <f>INDEX('Coût API par utilisateur'!$B$36:$D$36,1,MATCH(D7,'Coût API par utilisateur'!$B$4:$D$4,0))</f>
        <v>15.97459505777778</v>
      </c>
      <c r="E13" s="41">
        <f>INDEX('Coût API par utilisateur'!$B$37:$D$37,1,MATCH(E7,'Coût API par utilisateur'!$B$4:$D$4,0))</f>
        <v>61.871477333333338</v>
      </c>
      <c r="F13" s="2"/>
    </row>
    <row r="14" spans="1:6" x14ac:dyDescent="0.25">
      <c r="A14" s="9" t="s">
        <v>262</v>
      </c>
      <c r="B14" s="25">
        <f>IF(B5=0,0,B5*Hypothèses!$B$7+Hypothèses!$B$8)</f>
        <v>0</v>
      </c>
      <c r="C14" s="25">
        <f>IF(C5=0,0,C5*Hypothèses!$B$7+Hypothèses!$B$8)</f>
        <v>0.87970999999999999</v>
      </c>
      <c r="D14" s="25">
        <f>IF(D5=0,0,D5*Hypothèses!$B$7+Hypothèses!$B$8)</f>
        <v>1.16971</v>
      </c>
      <c r="E14" s="25">
        <f>IF(E5=0,0,E5*Hypothèses!$B$7+Hypothèses!$B$8)</f>
        <v>3.1997099999999996</v>
      </c>
      <c r="F14" s="2"/>
    </row>
    <row r="15" spans="1:6" x14ac:dyDescent="0.25">
      <c r="A15" s="26" t="s">
        <v>263</v>
      </c>
      <c r="B15" s="27">
        <f>B5-B13-B14</f>
        <v>0</v>
      </c>
      <c r="C15" s="27">
        <f>C5-C13-C14</f>
        <v>6.1192303022222196</v>
      </c>
      <c r="D15" s="27">
        <f>D5-D13-D14</f>
        <v>12.845694942222218</v>
      </c>
      <c r="E15" s="27">
        <f>E5-E13-E14</f>
        <v>34.918812666666653</v>
      </c>
      <c r="F15" s="2"/>
    </row>
    <row r="16" spans="1:6" x14ac:dyDescent="0.25">
      <c r="A16" s="26" t="s">
        <v>264</v>
      </c>
      <c r="B16" s="42">
        <f>IF(B5=0,0,B15/B5)</f>
        <v>0</v>
      </c>
      <c r="C16" s="42">
        <f>IF(C5=0,0,C15/C5)</f>
        <v>0.30611457239730966</v>
      </c>
      <c r="D16" s="42">
        <f>IF(D5=0,0,D15/D5)</f>
        <v>0.42833260894372188</v>
      </c>
      <c r="E16" s="42">
        <f>IF(E5=0,0,E15/E5)</f>
        <v>0.3492230489715637</v>
      </c>
      <c r="F16" s="2"/>
    </row>
    <row r="17" spans="1:6" x14ac:dyDescent="0.25">
      <c r="A17" s="9" t="s">
        <v>265</v>
      </c>
      <c r="B17" s="25">
        <f>IF(B9=0,0,B13*B9/INDEX('Coût API par utilisateur'!$B$5:$D$5,1,MATCH(B7,'Coût API par utilisateur'!$B$4:$D$4,0)))</f>
        <v>0</v>
      </c>
      <c r="C17" s="25">
        <f>IF(C9=0,0,C13*C9/INDEX('Coût API par utilisateur'!$B$5:$D$5,1,MATCH(C7,'Coût API par utilisateur'!$B$4:$D$4,0)))</f>
        <v>12.491403555555557</v>
      </c>
      <c r="D17" s="25">
        <f>IF(D9=0,0,D13*D9/INDEX('Coût API par utilisateur'!$B$5:$D$5,1,MATCH(D7,'Coût API par utilisateur'!$B$4:$D$4,0)))</f>
        <v>24.576300088888893</v>
      </c>
      <c r="E17" s="25">
        <f>IF(E9=0,0,E13*E9/INDEX('Coût API par utilisateur'!$B$5:$D$5,1,MATCH(E7,'Coût API par utilisateur'!$B$4:$D$4,0)))</f>
        <v>77.339346666666671</v>
      </c>
      <c r="F17" s="2"/>
    </row>
    <row r="18" spans="1:6" ht="25.5" x14ac:dyDescent="0.25">
      <c r="A18" s="9" t="s">
        <v>266</v>
      </c>
      <c r="B18" s="36">
        <f>IF(B5=0,0,(B5-B17-B14)/B5)</f>
        <v>0</v>
      </c>
      <c r="C18" s="36">
        <f>IF(C5=0,0,(C5-C17-C14)/C5)</f>
        <v>0.33110987716080248</v>
      </c>
      <c r="D18" s="36">
        <f>IF(D5=0,0,(D5-D17-D14)/D5)</f>
        <v>0.14151350153754938</v>
      </c>
      <c r="E18" s="36">
        <f>IF(E5=0,0,(E5-E17-E14)/E5)</f>
        <v>0.19452888622195544</v>
      </c>
      <c r="F18" s="3" t="s">
        <v>267</v>
      </c>
    </row>
    <row r="19" spans="1:6" x14ac:dyDescent="0.25">
      <c r="A19" s="2"/>
      <c r="B19" s="2"/>
      <c r="C19" s="2"/>
      <c r="D19" s="2"/>
      <c r="E19" s="2"/>
      <c r="F19" s="2"/>
    </row>
    <row r="20" spans="1:6" ht="18" customHeight="1" x14ac:dyDescent="0.25">
      <c r="A20" s="6" t="s">
        <v>268</v>
      </c>
      <c r="B20" s="2"/>
      <c r="C20" s="2"/>
      <c r="D20" s="2"/>
      <c r="E20" s="2"/>
      <c r="F20" s="2"/>
    </row>
    <row r="21" spans="1:6" x14ac:dyDescent="0.25">
      <c r="A21" s="7" t="s">
        <v>269</v>
      </c>
      <c r="B21" s="7" t="s">
        <v>270</v>
      </c>
      <c r="C21" s="7" t="s">
        <v>271</v>
      </c>
      <c r="D21" s="7" t="s">
        <v>272</v>
      </c>
      <c r="E21" s="2"/>
      <c r="F21" s="7" t="s">
        <v>138</v>
      </c>
    </row>
    <row r="22" spans="1:6" x14ac:dyDescent="0.25">
      <c r="A22" s="9" t="s">
        <v>273</v>
      </c>
      <c r="B22" s="41">
        <f>'Coût lunettes'!$B$30</f>
        <v>549</v>
      </c>
      <c r="C22" s="41">
        <f>'Coût lunettes'!$B$31</f>
        <v>257.14</v>
      </c>
      <c r="D22" s="25">
        <f>B22-C22-B22*(Hypothèses!$B$7+Hypothèses!$B$22)-Hypothèses!$B$8</f>
        <v>259.16899999999998</v>
      </c>
      <c r="E22" s="2"/>
      <c r="F22" s="2"/>
    </row>
    <row r="23" spans="1:6" x14ac:dyDescent="0.25">
      <c r="A23" s="9" t="s">
        <v>274</v>
      </c>
      <c r="B23" s="25">
        <f>CEILING('Coût lunettes'!$B$30+D5*12*(1-F23),10)-1</f>
        <v>839</v>
      </c>
      <c r="C23" s="25">
        <f>'Coût lunettes'!$B$31+D13*12</f>
        <v>448.83514069333336</v>
      </c>
      <c r="D23" s="25">
        <f>B23-C23-B23*(Hypothèses!$B$7+Hypothèses!$B$22)-Hypothèses!$B$8</f>
        <v>340.36385930666665</v>
      </c>
      <c r="E23" s="2"/>
      <c r="F23" s="11">
        <v>0.2</v>
      </c>
    </row>
    <row r="24" spans="1:6" x14ac:dyDescent="0.25">
      <c r="A24" s="9" t="s">
        <v>275</v>
      </c>
      <c r="B24" s="25">
        <f>CEILING('Coût lunettes'!$B$30+E5*12*(1-F24),10)-1</f>
        <v>1509</v>
      </c>
      <c r="C24" s="25">
        <f>'Coût lunettes'!$B$31+E13*12</f>
        <v>999.59772800000007</v>
      </c>
      <c r="D24" s="25">
        <f>B24-C24-B24*(Hypothèses!$B$7+Hypothèses!$B$22)-Hypothèses!$B$8</f>
        <v>420.07127199999991</v>
      </c>
      <c r="E24" s="2"/>
      <c r="F24" s="11">
        <v>0.2</v>
      </c>
    </row>
    <row r="25" spans="1:6" x14ac:dyDescent="0.25">
      <c r="A25" s="2"/>
      <c r="B25" s="2"/>
      <c r="C25" s="2"/>
      <c r="D25" s="2"/>
      <c r="E25" s="2"/>
      <c r="F25" s="2"/>
    </row>
    <row r="26" spans="1:6" ht="60" customHeight="1" x14ac:dyDescent="0.25">
      <c r="A26" s="49" t="s">
        <v>276</v>
      </c>
      <c r="B26" s="47"/>
      <c r="C26" s="47"/>
      <c r="D26" s="47"/>
      <c r="E26" s="47"/>
      <c r="F26" s="47"/>
    </row>
  </sheetData>
  <mergeCells count="2">
    <mergeCell ref="A26:F26"/>
    <mergeCell ref="A1:F1"/>
  </mergeCells>
  <dataValidations count="1">
    <dataValidation type="list" sqref="B7 C7 D7 E7" xr:uid="{00000000-0002-0000-0400-000000000000}">
      <formula1>"Léger,Moyen,Intensif"</formula1>
    </dataValidation>
  </dataValidation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8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44" customWidth="1"/>
    <col min="2" max="14" width="13" customWidth="1"/>
  </cols>
  <sheetData>
    <row r="1" spans="1:14" ht="18" x14ac:dyDescent="0.25">
      <c r="A1" s="46" t="s">
        <v>277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1:1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8" customHeight="1" x14ac:dyDescent="0.25">
      <c r="A3" s="6" t="s">
        <v>278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5">
      <c r="A4" s="9" t="s">
        <v>279</v>
      </c>
      <c r="B4" s="14">
        <v>0.6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25">
      <c r="A5" s="9" t="s">
        <v>280</v>
      </c>
      <c r="B5" s="11">
        <v>0.5</v>
      </c>
      <c r="C5" s="11">
        <v>0.4</v>
      </c>
      <c r="D5" s="11">
        <v>0.1</v>
      </c>
      <c r="E5" s="36">
        <f>B5+C5+D5</f>
        <v>1</v>
      </c>
      <c r="F5" s="9" t="s">
        <v>281</v>
      </c>
      <c r="G5" s="2"/>
      <c r="H5" s="2"/>
      <c r="I5" s="2"/>
      <c r="J5" s="2"/>
      <c r="K5" s="2"/>
      <c r="L5" s="2"/>
      <c r="M5" s="2"/>
      <c r="N5" s="2"/>
    </row>
    <row r="6" spans="1:14" x14ac:dyDescent="0.25">
      <c r="A6" s="9" t="s">
        <v>282</v>
      </c>
      <c r="B6" s="14">
        <v>0.05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25">
      <c r="A7" s="9" t="s">
        <v>283</v>
      </c>
      <c r="B7" s="11">
        <v>0.5</v>
      </c>
      <c r="C7" s="2"/>
      <c r="D7" s="2"/>
      <c r="E7" s="2"/>
      <c r="F7" s="9" t="s">
        <v>284</v>
      </c>
      <c r="G7" s="2"/>
      <c r="H7" s="2"/>
      <c r="I7" s="2"/>
      <c r="J7" s="2"/>
      <c r="K7" s="2"/>
      <c r="L7" s="2"/>
      <c r="M7" s="2"/>
      <c r="N7" s="2"/>
    </row>
    <row r="8" spans="1:14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25">
      <c r="A9" s="7" t="s">
        <v>46</v>
      </c>
      <c r="B9" s="7" t="s">
        <v>285</v>
      </c>
      <c r="C9" s="7" t="s">
        <v>286</v>
      </c>
      <c r="D9" s="7" t="s">
        <v>287</v>
      </c>
      <c r="E9" s="7" t="s">
        <v>288</v>
      </c>
      <c r="F9" s="7" t="s">
        <v>289</v>
      </c>
      <c r="G9" s="7" t="s">
        <v>290</v>
      </c>
      <c r="H9" s="7" t="s">
        <v>291</v>
      </c>
      <c r="I9" s="7" t="s">
        <v>292</v>
      </c>
      <c r="J9" s="7" t="s">
        <v>293</v>
      </c>
      <c r="K9" s="7" t="s">
        <v>294</v>
      </c>
      <c r="L9" s="7" t="s">
        <v>295</v>
      </c>
      <c r="M9" s="7" t="s">
        <v>296</v>
      </c>
      <c r="N9" s="7" t="s">
        <v>297</v>
      </c>
    </row>
    <row r="10" spans="1:14" x14ac:dyDescent="0.25">
      <c r="A10" s="9" t="s">
        <v>298</v>
      </c>
      <c r="B10" s="13">
        <v>5</v>
      </c>
      <c r="C10" s="13">
        <v>10</v>
      </c>
      <c r="D10" s="13">
        <v>15</v>
      </c>
      <c r="E10" s="13">
        <v>20</v>
      </c>
      <c r="F10" s="13">
        <v>30</v>
      </c>
      <c r="G10" s="13">
        <v>40</v>
      </c>
      <c r="H10" s="13">
        <v>50</v>
      </c>
      <c r="I10" s="13">
        <v>60</v>
      </c>
      <c r="J10" s="13">
        <v>80</v>
      </c>
      <c r="K10" s="13">
        <v>100</v>
      </c>
      <c r="L10" s="13">
        <v>120</v>
      </c>
      <c r="M10" s="13">
        <v>150</v>
      </c>
      <c r="N10" s="43">
        <f>SUM(B10:M10)</f>
        <v>680</v>
      </c>
    </row>
    <row r="11" spans="1:14" x14ac:dyDescent="0.25">
      <c r="A11" s="9" t="s">
        <v>299</v>
      </c>
      <c r="B11" s="33">
        <f>B10*'Coût lunettes'!$B$30</f>
        <v>2745</v>
      </c>
      <c r="C11" s="33">
        <f>C10*'Coût lunettes'!$B$30</f>
        <v>5490</v>
      </c>
      <c r="D11" s="33">
        <f>D10*'Coût lunettes'!$B$30</f>
        <v>8235</v>
      </c>
      <c r="E11" s="33">
        <f>E10*'Coût lunettes'!$B$30</f>
        <v>10980</v>
      </c>
      <c r="F11" s="33">
        <f>F10*'Coût lunettes'!$B$30</f>
        <v>16470</v>
      </c>
      <c r="G11" s="33">
        <f>G10*'Coût lunettes'!$B$30</f>
        <v>21960</v>
      </c>
      <c r="H11" s="33">
        <f>H10*'Coût lunettes'!$B$30</f>
        <v>27450</v>
      </c>
      <c r="I11" s="33">
        <f>I10*'Coût lunettes'!$B$30</f>
        <v>32940</v>
      </c>
      <c r="J11" s="33">
        <f>J10*'Coût lunettes'!$B$30</f>
        <v>43920</v>
      </c>
      <c r="K11" s="33">
        <f>K10*'Coût lunettes'!$B$30</f>
        <v>54900</v>
      </c>
      <c r="L11" s="33">
        <f>L10*'Coût lunettes'!$B$30</f>
        <v>65880</v>
      </c>
      <c r="M11" s="33">
        <f>M10*'Coût lunettes'!$B$30</f>
        <v>82350</v>
      </c>
      <c r="N11" s="44">
        <f>SUM(B11:M11)</f>
        <v>373320</v>
      </c>
    </row>
    <row r="12" spans="1:14" x14ac:dyDescent="0.25">
      <c r="A12" s="9" t="s">
        <v>300</v>
      </c>
      <c r="B12" s="33">
        <f>B10*('Coût lunettes'!$B$31+'Coût lunettes'!$B$30*(Hypothèses!$B$7+Hypothèses!$B$22)+Hypothèses!$B$8)</f>
        <v>1449.1550000000002</v>
      </c>
      <c r="C12" s="33">
        <f>C10*('Coût lunettes'!$B$31+'Coût lunettes'!$B$30*(Hypothèses!$B$7+Hypothèses!$B$22)+Hypothèses!$B$8)</f>
        <v>2898.3100000000004</v>
      </c>
      <c r="D12" s="33">
        <f>D10*('Coût lunettes'!$B$31+'Coût lunettes'!$B$30*(Hypothèses!$B$7+Hypothèses!$B$22)+Hypothèses!$B$8)</f>
        <v>4347.4650000000001</v>
      </c>
      <c r="E12" s="33">
        <f>E10*('Coût lunettes'!$B$31+'Coût lunettes'!$B$30*(Hypothèses!$B$7+Hypothèses!$B$22)+Hypothèses!$B$8)</f>
        <v>5796.6200000000008</v>
      </c>
      <c r="F12" s="33">
        <f>F10*('Coût lunettes'!$B$31+'Coût lunettes'!$B$30*(Hypothèses!$B$7+Hypothèses!$B$22)+Hypothèses!$B$8)</f>
        <v>8694.93</v>
      </c>
      <c r="G12" s="33">
        <f>G10*('Coût lunettes'!$B$31+'Coût lunettes'!$B$30*(Hypothèses!$B$7+Hypothèses!$B$22)+Hypothèses!$B$8)</f>
        <v>11593.240000000002</v>
      </c>
      <c r="H12" s="33">
        <f>H10*('Coût lunettes'!$B$31+'Coût lunettes'!$B$30*(Hypothèses!$B$7+Hypothèses!$B$22)+Hypothèses!$B$8)</f>
        <v>14491.550000000001</v>
      </c>
      <c r="I12" s="33">
        <f>I10*('Coût lunettes'!$B$31+'Coût lunettes'!$B$30*(Hypothèses!$B$7+Hypothèses!$B$22)+Hypothèses!$B$8)</f>
        <v>17389.86</v>
      </c>
      <c r="J12" s="33">
        <f>J10*('Coût lunettes'!$B$31+'Coût lunettes'!$B$30*(Hypothèses!$B$7+Hypothèses!$B$22)+Hypothèses!$B$8)</f>
        <v>23186.480000000003</v>
      </c>
      <c r="K12" s="33">
        <f>K10*('Coût lunettes'!$B$31+'Coût lunettes'!$B$30*(Hypothèses!$B$7+Hypothèses!$B$22)+Hypothèses!$B$8)</f>
        <v>28983.100000000002</v>
      </c>
      <c r="L12" s="33">
        <f>L10*('Coût lunettes'!$B$31+'Coût lunettes'!$B$30*(Hypothèses!$B$7+Hypothèses!$B$22)+Hypothèses!$B$8)</f>
        <v>34779.72</v>
      </c>
      <c r="M12" s="33">
        <f>M10*('Coût lunettes'!$B$31+'Coût lunettes'!$B$30*(Hypothèses!$B$7+Hypothèses!$B$22)+Hypothèses!$B$8)</f>
        <v>43474.65</v>
      </c>
      <c r="N12" s="44">
        <f>SUM(B12:M12)</f>
        <v>197085.08000000002</v>
      </c>
    </row>
    <row r="13" spans="1:14" x14ac:dyDescent="0.25">
      <c r="A13" s="26" t="s">
        <v>301</v>
      </c>
      <c r="B13" s="44">
        <f t="shared" ref="B13:M13" si="0">B11-B12</f>
        <v>1295.8449999999998</v>
      </c>
      <c r="C13" s="44">
        <f t="shared" si="0"/>
        <v>2591.6899999999996</v>
      </c>
      <c r="D13" s="44">
        <f t="shared" si="0"/>
        <v>3887.5349999999999</v>
      </c>
      <c r="E13" s="44">
        <f t="shared" si="0"/>
        <v>5183.3799999999992</v>
      </c>
      <c r="F13" s="44">
        <f t="shared" si="0"/>
        <v>7775.07</v>
      </c>
      <c r="G13" s="44">
        <f t="shared" si="0"/>
        <v>10366.759999999998</v>
      </c>
      <c r="H13" s="44">
        <f t="shared" si="0"/>
        <v>12958.449999999999</v>
      </c>
      <c r="I13" s="44">
        <f t="shared" si="0"/>
        <v>15550.14</v>
      </c>
      <c r="J13" s="44">
        <f t="shared" si="0"/>
        <v>20733.519999999997</v>
      </c>
      <c r="K13" s="44">
        <f t="shared" si="0"/>
        <v>25916.899999999998</v>
      </c>
      <c r="L13" s="44">
        <f t="shared" si="0"/>
        <v>31100.28</v>
      </c>
      <c r="M13" s="44">
        <f t="shared" si="0"/>
        <v>38875.35</v>
      </c>
      <c r="N13" s="44">
        <f>SUM(B13:M13)</f>
        <v>176234.91999999998</v>
      </c>
    </row>
    <row r="14" spans="1:14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x14ac:dyDescent="0.25">
      <c r="A15" s="9" t="s">
        <v>302</v>
      </c>
      <c r="B15" s="22">
        <f>ROUND(B10*(1+'Projection 12 mois'!$B$7)*'Projection 12 mois'!$B$4*'Projection 12 mois'!$B$5,0)</f>
        <v>2</v>
      </c>
      <c r="C15" s="22">
        <f>ROUND(C10*(1+'Projection 12 mois'!$B$7)*'Projection 12 mois'!$B$4*'Projection 12 mois'!$B$5,0)</f>
        <v>5</v>
      </c>
      <c r="D15" s="22">
        <f>ROUND(D10*(1+'Projection 12 mois'!$B$7)*'Projection 12 mois'!$B$4*'Projection 12 mois'!$B$5,0)</f>
        <v>7</v>
      </c>
      <c r="E15" s="22">
        <f>ROUND(E10*(1+'Projection 12 mois'!$B$7)*'Projection 12 mois'!$B$4*'Projection 12 mois'!$B$5,0)</f>
        <v>9</v>
      </c>
      <c r="F15" s="22">
        <f>ROUND(F10*(1+'Projection 12 mois'!$B$7)*'Projection 12 mois'!$B$4*'Projection 12 mois'!$B$5,0)</f>
        <v>14</v>
      </c>
      <c r="G15" s="22">
        <f>ROUND(G10*(1+'Projection 12 mois'!$B$7)*'Projection 12 mois'!$B$4*'Projection 12 mois'!$B$5,0)</f>
        <v>18</v>
      </c>
      <c r="H15" s="22">
        <f>ROUND(H10*(1+'Projection 12 mois'!$B$7)*'Projection 12 mois'!$B$4*'Projection 12 mois'!$B$5,0)</f>
        <v>23</v>
      </c>
      <c r="I15" s="22">
        <f>ROUND(I10*(1+'Projection 12 mois'!$B$7)*'Projection 12 mois'!$B$4*'Projection 12 mois'!$B$5,0)</f>
        <v>27</v>
      </c>
      <c r="J15" s="22">
        <f>ROUND(J10*(1+'Projection 12 mois'!$B$7)*'Projection 12 mois'!$B$4*'Projection 12 mois'!$B$5,0)</f>
        <v>36</v>
      </c>
      <c r="K15" s="22">
        <f>ROUND(K10*(1+'Projection 12 mois'!$B$7)*'Projection 12 mois'!$B$4*'Projection 12 mois'!$B$5,0)</f>
        <v>45</v>
      </c>
      <c r="L15" s="22">
        <f>ROUND(L10*(1+'Projection 12 mois'!$B$7)*'Projection 12 mois'!$B$4*'Projection 12 mois'!$B$5,0)</f>
        <v>54</v>
      </c>
      <c r="M15" s="22">
        <f>ROUND(M10*(1+'Projection 12 mois'!$B$7)*'Projection 12 mois'!$B$4*'Projection 12 mois'!$B$5,0)</f>
        <v>68</v>
      </c>
      <c r="N15" s="43">
        <f>SUM(B15:M15)</f>
        <v>308</v>
      </c>
    </row>
    <row r="16" spans="1:14" x14ac:dyDescent="0.25">
      <c r="A16" s="9" t="s">
        <v>303</v>
      </c>
      <c r="B16" s="22">
        <f>B15</f>
        <v>2</v>
      </c>
      <c r="C16" s="22">
        <f>ROUND(B16*(1-'Projection 12 mois'!$B$6),0)+C15</f>
        <v>7</v>
      </c>
      <c r="D16" s="22">
        <f>ROUND(C16*(1-'Projection 12 mois'!$B$6),0)+D15</f>
        <v>14</v>
      </c>
      <c r="E16" s="22">
        <f>ROUND(D16*(1-'Projection 12 mois'!$B$6),0)+E15</f>
        <v>22</v>
      </c>
      <c r="F16" s="22">
        <f>ROUND(E16*(1-'Projection 12 mois'!$B$6),0)+F15</f>
        <v>35</v>
      </c>
      <c r="G16" s="22">
        <f>ROUND(F16*(1-'Projection 12 mois'!$B$6),0)+G15</f>
        <v>51</v>
      </c>
      <c r="H16" s="22">
        <f>ROUND(G16*(1-'Projection 12 mois'!$B$6),0)+H15</f>
        <v>71</v>
      </c>
      <c r="I16" s="22">
        <f>ROUND(H16*(1-'Projection 12 mois'!$B$6),0)+I15</f>
        <v>94</v>
      </c>
      <c r="J16" s="22">
        <f>ROUND(I16*(1-'Projection 12 mois'!$B$6),0)+J15</f>
        <v>125</v>
      </c>
      <c r="K16" s="22">
        <f>ROUND(J16*(1-'Projection 12 mois'!$B$6),0)+K15</f>
        <v>164</v>
      </c>
      <c r="L16" s="22">
        <f>ROUND(K16*(1-'Projection 12 mois'!$B$6),0)+L15</f>
        <v>210</v>
      </c>
      <c r="M16" s="22">
        <f>ROUND(L16*(1-'Projection 12 mois'!$B$6),0)+M15</f>
        <v>268</v>
      </c>
      <c r="N16" s="43">
        <f>M16</f>
        <v>268</v>
      </c>
    </row>
    <row r="17" spans="1:14" x14ac:dyDescent="0.25">
      <c r="A17" s="9" t="s">
        <v>304</v>
      </c>
      <c r="B17" s="22">
        <f>ROUND(B10*(1+'Projection 12 mois'!$B$7)*'Projection 12 mois'!$B$4*'Projection 12 mois'!$C$5,0)</f>
        <v>2</v>
      </c>
      <c r="C17" s="22">
        <f>ROUND(C10*(1+'Projection 12 mois'!$B$7)*'Projection 12 mois'!$B$4*'Projection 12 mois'!$C$5,0)</f>
        <v>4</v>
      </c>
      <c r="D17" s="22">
        <f>ROUND(D10*(1+'Projection 12 mois'!$B$7)*'Projection 12 mois'!$B$4*'Projection 12 mois'!$C$5,0)</f>
        <v>5</v>
      </c>
      <c r="E17" s="22">
        <f>ROUND(E10*(1+'Projection 12 mois'!$B$7)*'Projection 12 mois'!$B$4*'Projection 12 mois'!$C$5,0)</f>
        <v>7</v>
      </c>
      <c r="F17" s="22">
        <f>ROUND(F10*(1+'Projection 12 mois'!$B$7)*'Projection 12 mois'!$B$4*'Projection 12 mois'!$C$5,0)</f>
        <v>11</v>
      </c>
      <c r="G17" s="22">
        <f>ROUND(G10*(1+'Projection 12 mois'!$B$7)*'Projection 12 mois'!$B$4*'Projection 12 mois'!$C$5,0)</f>
        <v>14</v>
      </c>
      <c r="H17" s="22">
        <f>ROUND(H10*(1+'Projection 12 mois'!$B$7)*'Projection 12 mois'!$B$4*'Projection 12 mois'!$C$5,0)</f>
        <v>18</v>
      </c>
      <c r="I17" s="22">
        <f>ROUND(I10*(1+'Projection 12 mois'!$B$7)*'Projection 12 mois'!$B$4*'Projection 12 mois'!$C$5,0)</f>
        <v>22</v>
      </c>
      <c r="J17" s="22">
        <f>ROUND(J10*(1+'Projection 12 mois'!$B$7)*'Projection 12 mois'!$B$4*'Projection 12 mois'!$C$5,0)</f>
        <v>29</v>
      </c>
      <c r="K17" s="22">
        <f>ROUND(K10*(1+'Projection 12 mois'!$B$7)*'Projection 12 mois'!$B$4*'Projection 12 mois'!$C$5,0)</f>
        <v>36</v>
      </c>
      <c r="L17" s="22">
        <f>ROUND(L10*(1+'Projection 12 mois'!$B$7)*'Projection 12 mois'!$B$4*'Projection 12 mois'!$C$5,0)</f>
        <v>43</v>
      </c>
      <c r="M17" s="22">
        <f>ROUND(M10*(1+'Projection 12 mois'!$B$7)*'Projection 12 mois'!$B$4*'Projection 12 mois'!$C$5,0)</f>
        <v>54</v>
      </c>
      <c r="N17" s="43">
        <f>SUM(B17:M17)</f>
        <v>245</v>
      </c>
    </row>
    <row r="18" spans="1:14" x14ac:dyDescent="0.25">
      <c r="A18" s="9" t="s">
        <v>305</v>
      </c>
      <c r="B18" s="22">
        <f>B17</f>
        <v>2</v>
      </c>
      <c r="C18" s="22">
        <f>ROUND(B18*(1-'Projection 12 mois'!$B$6),0)+C17</f>
        <v>6</v>
      </c>
      <c r="D18" s="22">
        <f>ROUND(C18*(1-'Projection 12 mois'!$B$6),0)+D17</f>
        <v>11</v>
      </c>
      <c r="E18" s="22">
        <f>ROUND(D18*(1-'Projection 12 mois'!$B$6),0)+E17</f>
        <v>17</v>
      </c>
      <c r="F18" s="22">
        <f>ROUND(E18*(1-'Projection 12 mois'!$B$6),0)+F17</f>
        <v>27</v>
      </c>
      <c r="G18" s="22">
        <f>ROUND(F18*(1-'Projection 12 mois'!$B$6),0)+G17</f>
        <v>40</v>
      </c>
      <c r="H18" s="22">
        <f>ROUND(G18*(1-'Projection 12 mois'!$B$6),0)+H17</f>
        <v>56</v>
      </c>
      <c r="I18" s="22">
        <f>ROUND(H18*(1-'Projection 12 mois'!$B$6),0)+I17</f>
        <v>75</v>
      </c>
      <c r="J18" s="22">
        <f>ROUND(I18*(1-'Projection 12 mois'!$B$6),0)+J17</f>
        <v>100</v>
      </c>
      <c r="K18" s="22">
        <f>ROUND(J18*(1-'Projection 12 mois'!$B$6),0)+K17</f>
        <v>131</v>
      </c>
      <c r="L18" s="22">
        <f>ROUND(K18*(1-'Projection 12 mois'!$B$6),0)+L17</f>
        <v>167</v>
      </c>
      <c r="M18" s="22">
        <f>ROUND(L18*(1-'Projection 12 mois'!$B$6),0)+M17</f>
        <v>213</v>
      </c>
      <c r="N18" s="43">
        <f>M18</f>
        <v>213</v>
      </c>
    </row>
    <row r="19" spans="1:14" x14ac:dyDescent="0.25">
      <c r="A19" s="9" t="s">
        <v>306</v>
      </c>
      <c r="B19" s="22">
        <f>ROUND(B10*(1+'Projection 12 mois'!$B$7)*'Projection 12 mois'!$B$4*'Projection 12 mois'!$D$5,0)</f>
        <v>0</v>
      </c>
      <c r="C19" s="22">
        <f>ROUND(C10*(1+'Projection 12 mois'!$B$7)*'Projection 12 mois'!$B$4*'Projection 12 mois'!$D$5,0)</f>
        <v>1</v>
      </c>
      <c r="D19" s="22">
        <f>ROUND(D10*(1+'Projection 12 mois'!$B$7)*'Projection 12 mois'!$B$4*'Projection 12 mois'!$D$5,0)</f>
        <v>1</v>
      </c>
      <c r="E19" s="22">
        <f>ROUND(E10*(1+'Projection 12 mois'!$B$7)*'Projection 12 mois'!$B$4*'Projection 12 mois'!$D$5,0)</f>
        <v>2</v>
      </c>
      <c r="F19" s="22">
        <f>ROUND(F10*(1+'Projection 12 mois'!$B$7)*'Projection 12 mois'!$B$4*'Projection 12 mois'!$D$5,0)</f>
        <v>3</v>
      </c>
      <c r="G19" s="22">
        <f>ROUND(G10*(1+'Projection 12 mois'!$B$7)*'Projection 12 mois'!$B$4*'Projection 12 mois'!$D$5,0)</f>
        <v>4</v>
      </c>
      <c r="H19" s="22">
        <f>ROUND(H10*(1+'Projection 12 mois'!$B$7)*'Projection 12 mois'!$B$4*'Projection 12 mois'!$D$5,0)</f>
        <v>5</v>
      </c>
      <c r="I19" s="22">
        <f>ROUND(I10*(1+'Projection 12 mois'!$B$7)*'Projection 12 mois'!$B$4*'Projection 12 mois'!$D$5,0)</f>
        <v>5</v>
      </c>
      <c r="J19" s="22">
        <f>ROUND(J10*(1+'Projection 12 mois'!$B$7)*'Projection 12 mois'!$B$4*'Projection 12 mois'!$D$5,0)</f>
        <v>7</v>
      </c>
      <c r="K19" s="22">
        <f>ROUND(K10*(1+'Projection 12 mois'!$B$7)*'Projection 12 mois'!$B$4*'Projection 12 mois'!$D$5,0)</f>
        <v>9</v>
      </c>
      <c r="L19" s="22">
        <f>ROUND(L10*(1+'Projection 12 mois'!$B$7)*'Projection 12 mois'!$B$4*'Projection 12 mois'!$D$5,0)</f>
        <v>11</v>
      </c>
      <c r="M19" s="22">
        <f>ROUND(M10*(1+'Projection 12 mois'!$B$7)*'Projection 12 mois'!$B$4*'Projection 12 mois'!$D$5,0)</f>
        <v>14</v>
      </c>
      <c r="N19" s="43">
        <f>SUM(B19:M19)</f>
        <v>62</v>
      </c>
    </row>
    <row r="20" spans="1:14" x14ac:dyDescent="0.25">
      <c r="A20" s="9" t="s">
        <v>307</v>
      </c>
      <c r="B20" s="22">
        <f>B19</f>
        <v>0</v>
      </c>
      <c r="C20" s="22">
        <f>ROUND(B20*(1-'Projection 12 mois'!$B$6),0)+C19</f>
        <v>1</v>
      </c>
      <c r="D20" s="22">
        <f>ROUND(C20*(1-'Projection 12 mois'!$B$6),0)+D19</f>
        <v>2</v>
      </c>
      <c r="E20" s="22">
        <f>ROUND(D20*(1-'Projection 12 mois'!$B$6),0)+E19</f>
        <v>4</v>
      </c>
      <c r="F20" s="22">
        <f>ROUND(E20*(1-'Projection 12 mois'!$B$6),0)+F19</f>
        <v>7</v>
      </c>
      <c r="G20" s="22">
        <f>ROUND(F20*(1-'Projection 12 mois'!$B$6),0)+G19</f>
        <v>11</v>
      </c>
      <c r="H20" s="22">
        <f>ROUND(G20*(1-'Projection 12 mois'!$B$6),0)+H19</f>
        <v>15</v>
      </c>
      <c r="I20" s="22">
        <f>ROUND(H20*(1-'Projection 12 mois'!$B$6),0)+I19</f>
        <v>19</v>
      </c>
      <c r="J20" s="22">
        <f>ROUND(I20*(1-'Projection 12 mois'!$B$6),0)+J19</f>
        <v>25</v>
      </c>
      <c r="K20" s="22">
        <f>ROUND(J20*(1-'Projection 12 mois'!$B$6),0)+K19</f>
        <v>33</v>
      </c>
      <c r="L20" s="22">
        <f>ROUND(K20*(1-'Projection 12 mois'!$B$6),0)+L19</f>
        <v>42</v>
      </c>
      <c r="M20" s="22">
        <f>ROUND(L20*(1-'Projection 12 mois'!$B$6),0)+M19</f>
        <v>54</v>
      </c>
      <c r="N20" s="43">
        <f>M20</f>
        <v>54</v>
      </c>
    </row>
    <row r="21" spans="1:14" x14ac:dyDescent="0.25">
      <c r="A21" s="26" t="s">
        <v>308</v>
      </c>
      <c r="B21" s="43">
        <f t="shared" ref="B21:M21" si="1">B16+B18+B20</f>
        <v>4</v>
      </c>
      <c r="C21" s="43">
        <f t="shared" si="1"/>
        <v>14</v>
      </c>
      <c r="D21" s="43">
        <f t="shared" si="1"/>
        <v>27</v>
      </c>
      <c r="E21" s="43">
        <f t="shared" si="1"/>
        <v>43</v>
      </c>
      <c r="F21" s="43">
        <f t="shared" si="1"/>
        <v>69</v>
      </c>
      <c r="G21" s="43">
        <f t="shared" si="1"/>
        <v>102</v>
      </c>
      <c r="H21" s="43">
        <f t="shared" si="1"/>
        <v>142</v>
      </c>
      <c r="I21" s="43">
        <f t="shared" si="1"/>
        <v>188</v>
      </c>
      <c r="J21" s="43">
        <f t="shared" si="1"/>
        <v>250</v>
      </c>
      <c r="K21" s="43">
        <f t="shared" si="1"/>
        <v>328</v>
      </c>
      <c r="L21" s="43">
        <f t="shared" si="1"/>
        <v>419</v>
      </c>
      <c r="M21" s="43">
        <f t="shared" si="1"/>
        <v>535</v>
      </c>
      <c r="N21" s="43">
        <f>M21</f>
        <v>535</v>
      </c>
    </row>
    <row r="22" spans="1:14" x14ac:dyDescent="0.25">
      <c r="A22" s="9" t="s">
        <v>309</v>
      </c>
      <c r="B22" s="33">
        <f>B16*Abonnements!$C$5+B18*Abonnements!$D$5+B20*Abonnements!$E$5</f>
        <v>99.96</v>
      </c>
      <c r="C22" s="33">
        <f>C16*Abonnements!$C$5+C18*Abonnements!$D$5+C20*Abonnements!$E$5</f>
        <v>419.86</v>
      </c>
      <c r="D22" s="33">
        <f>D16*Abonnements!$C$5+D18*Abonnements!$D$5+D20*Abonnements!$E$5</f>
        <v>809.73</v>
      </c>
      <c r="E22" s="33">
        <f>E16*Abonnements!$C$5+E18*Abonnements!$D$5+E20*Abonnements!$E$5</f>
        <v>1349.57</v>
      </c>
      <c r="F22" s="33">
        <f>F16*Abonnements!$C$5+F18*Abonnements!$D$5+F20*Abonnements!$E$5</f>
        <v>2209.31</v>
      </c>
      <c r="G22" s="33">
        <f>G16*Abonnements!$C$5+G18*Abonnements!$D$5+G20*Abonnements!$E$5</f>
        <v>3318.9799999999996</v>
      </c>
      <c r="H22" s="33">
        <f>H16*Abonnements!$C$5+H18*Abonnements!$D$5+H20*Abonnements!$E$5</f>
        <v>4598.58</v>
      </c>
      <c r="I22" s="33">
        <f>I16*Abonnements!$C$5+I18*Abonnements!$D$5+I20*Abonnements!$E$5</f>
        <v>6028.119999999999</v>
      </c>
      <c r="J22" s="33">
        <f>J16*Abonnements!$C$5+J18*Abonnements!$D$5+J20*Abonnements!$E$5</f>
        <v>7997.5</v>
      </c>
      <c r="K22" s="33">
        <f>K16*Abonnements!$C$5+K18*Abonnements!$D$5+K20*Abonnements!$E$5</f>
        <v>10506.72</v>
      </c>
      <c r="L22" s="33">
        <f>L16*Abonnements!$C$5+L18*Abonnements!$D$5+L20*Abonnements!$E$5</f>
        <v>13405.81</v>
      </c>
      <c r="M22" s="33">
        <f>M16*Abonnements!$C$5+M18*Abonnements!$D$5+M20*Abonnements!$E$5</f>
        <v>17144.649999999998</v>
      </c>
      <c r="N22" s="44">
        <f>SUM(B22:M22)</f>
        <v>67888.789999999994</v>
      </c>
    </row>
    <row r="23" spans="1:14" x14ac:dyDescent="0.25">
      <c r="A23" s="9" t="s">
        <v>310</v>
      </c>
      <c r="B23" s="33">
        <f>B16*Abonnements!$C$13+B18*Abonnements!$D$13+B20*Abonnements!$E$13</f>
        <v>57.931309511111117</v>
      </c>
      <c r="C23" s="33">
        <f>C16*Abonnements!$C$13+C18*Abonnements!$D$13+C20*Abonnements!$E$13</f>
        <v>248.65646556444446</v>
      </c>
      <c r="D23" s="33">
        <f>D16*Abonnements!$C$13+D18*Abonnements!$D$13+D20*Abonnements!$E$13</f>
        <v>481.33833607111109</v>
      </c>
      <c r="E23" s="33">
        <f>E16*Abonnements!$C$13+E18*Abonnements!$D$13+E20*Abonnements!$E$13</f>
        <v>804.85733866666669</v>
      </c>
      <c r="F23" s="33">
        <f>F16*Abonnements!$C$13+F18*Abonnements!$D$13+F20*Abonnements!$E$13</f>
        <v>1319.1014973155557</v>
      </c>
      <c r="G23" s="33">
        <f>G16*Abonnements!$C$13+G18*Abonnements!$D$13+G20*Abonnements!$E$13</f>
        <v>1982.1140975644446</v>
      </c>
      <c r="H23" s="33">
        <f>H16*Abonnements!$C$13+H18*Abonnements!$D$13+H20*Abonnements!$E$13</f>
        <v>2745.014721777778</v>
      </c>
      <c r="I23" s="33">
        <f>I16*Abonnements!$C$13+I18*Abonnements!$D$13+I20*Abonnements!$E$13</f>
        <v>3594.8123102577774</v>
      </c>
      <c r="J23" s="33">
        <f>J16*Abonnements!$C$13+J18*Abonnements!$D$13+J20*Abonnements!$E$13</f>
        <v>4768.1289013333344</v>
      </c>
      <c r="K23" s="33">
        <f>K16*Abonnements!$C$13+K18*Abonnements!$D$13+K20*Abonnements!$E$13</f>
        <v>6264.964495004444</v>
      </c>
      <c r="L23" s="33">
        <f>L16*Abonnements!$C$13+L18*Abonnements!$D$13+L20*Abonnements!$E$13</f>
        <v>7994.4819591822234</v>
      </c>
      <c r="M23" s="33">
        <f>M16*Abonnements!$C$13+M18*Abonnements!$D$13+M20*Abonnements!$E$13</f>
        <v>10225.252522311112</v>
      </c>
      <c r="N23" s="44">
        <f>SUM(B23:M23)</f>
        <v>40486.653954559995</v>
      </c>
    </row>
    <row r="24" spans="1:14" x14ac:dyDescent="0.25">
      <c r="A24" s="9" t="s">
        <v>311</v>
      </c>
      <c r="B24" s="33">
        <f>B22*Hypothèses!$B$7+B21*Hypothèses!$B$8</f>
        <v>4.09884</v>
      </c>
      <c r="C24" s="33">
        <f>C22*Hypothèses!$B$7+C21*Hypothèses!$B$8</f>
        <v>16.37594</v>
      </c>
      <c r="D24" s="33">
        <f>D22*Hypothèses!$B$7+D21*Hypothèses!$B$8</f>
        <v>31.582169999999998</v>
      </c>
      <c r="E24" s="33">
        <f>E22*Hypothèses!$B$7+E21*Hypothèses!$B$8</f>
        <v>52.037529999999997</v>
      </c>
      <c r="F24" s="33">
        <f>F22*Hypothèses!$B$7+F21*Hypothèses!$B$8</f>
        <v>84.769990000000007</v>
      </c>
      <c r="G24" s="33">
        <f>G22*Hypothèses!$B$7+G21*Hypothèses!$B$8</f>
        <v>126.85041999999999</v>
      </c>
      <c r="H24" s="33">
        <f>H22*Hypothèses!$B$7+H21*Hypothèses!$B$8</f>
        <v>175.95882</v>
      </c>
      <c r="I24" s="33">
        <f>I22*Hypothèses!$B$7+I21*Hypothèses!$B$8</f>
        <v>231.21547999999999</v>
      </c>
      <c r="J24" s="33">
        <f>J22*Hypothèses!$B$7+J21*Hypothèses!$B$8</f>
        <v>306.92750000000001</v>
      </c>
      <c r="K24" s="33">
        <f>K22*Hypothèses!$B$7+K21*Hypothèses!$B$8</f>
        <v>403.09487999999999</v>
      </c>
      <c r="L24" s="33">
        <f>L22*Hypothèses!$B$7+L21*Hypothèses!$B$8</f>
        <v>514.46848999999997</v>
      </c>
      <c r="M24" s="33">
        <f>M22*Hypothèses!$B$7+M21*Hypothèses!$B$8</f>
        <v>657.69484999999997</v>
      </c>
      <c r="N24" s="44">
        <f>SUM(B24:M24)</f>
        <v>2605.0749100000003</v>
      </c>
    </row>
    <row r="25" spans="1:14" x14ac:dyDescent="0.25">
      <c r="A25" s="26" t="s">
        <v>312</v>
      </c>
      <c r="B25" s="44">
        <f t="shared" ref="B25:M25" si="2">B22-B23-B24</f>
        <v>37.929850488888874</v>
      </c>
      <c r="C25" s="44">
        <f t="shared" si="2"/>
        <v>154.82759443555557</v>
      </c>
      <c r="D25" s="44">
        <f t="shared" si="2"/>
        <v>296.80949392888891</v>
      </c>
      <c r="E25" s="44">
        <f t="shared" si="2"/>
        <v>492.67513133333324</v>
      </c>
      <c r="F25" s="44">
        <f t="shared" si="2"/>
        <v>805.43851268444428</v>
      </c>
      <c r="G25" s="44">
        <f t="shared" si="2"/>
        <v>1210.015482435555</v>
      </c>
      <c r="H25" s="44">
        <f t="shared" si="2"/>
        <v>1677.6064582222218</v>
      </c>
      <c r="I25" s="44">
        <f t="shared" si="2"/>
        <v>2202.0922097422217</v>
      </c>
      <c r="J25" s="44">
        <f t="shared" si="2"/>
        <v>2922.4435986666658</v>
      </c>
      <c r="K25" s="44">
        <f t="shared" si="2"/>
        <v>3838.6606249955553</v>
      </c>
      <c r="L25" s="44">
        <f t="shared" si="2"/>
        <v>4896.8595508177759</v>
      </c>
      <c r="M25" s="44">
        <f t="shared" si="2"/>
        <v>6261.7026276888864</v>
      </c>
      <c r="N25" s="44">
        <f>SUM(B25:M25)</f>
        <v>24797.061135439992</v>
      </c>
    </row>
    <row r="26" spans="1:14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25">
      <c r="A27" s="26" t="s">
        <v>313</v>
      </c>
      <c r="B27" s="45">
        <f t="shared" ref="B27:M27" si="3">B11+B22</f>
        <v>2844.96</v>
      </c>
      <c r="C27" s="45">
        <f t="shared" si="3"/>
        <v>5909.86</v>
      </c>
      <c r="D27" s="45">
        <f t="shared" si="3"/>
        <v>9044.73</v>
      </c>
      <c r="E27" s="45">
        <f t="shared" si="3"/>
        <v>12329.57</v>
      </c>
      <c r="F27" s="45">
        <f t="shared" si="3"/>
        <v>18679.310000000001</v>
      </c>
      <c r="G27" s="45">
        <f t="shared" si="3"/>
        <v>25278.98</v>
      </c>
      <c r="H27" s="45">
        <f t="shared" si="3"/>
        <v>32048.58</v>
      </c>
      <c r="I27" s="45">
        <f t="shared" si="3"/>
        <v>38968.119999999995</v>
      </c>
      <c r="J27" s="45">
        <f t="shared" si="3"/>
        <v>51917.5</v>
      </c>
      <c r="K27" s="45">
        <f t="shared" si="3"/>
        <v>65406.720000000001</v>
      </c>
      <c r="L27" s="45">
        <f t="shared" si="3"/>
        <v>79285.81</v>
      </c>
      <c r="M27" s="45">
        <f t="shared" si="3"/>
        <v>99494.65</v>
      </c>
      <c r="N27" s="44">
        <f>SUM(B27:M27)</f>
        <v>441208.78999999992</v>
      </c>
    </row>
    <row r="28" spans="1:14" x14ac:dyDescent="0.25">
      <c r="A28" s="26" t="s">
        <v>314</v>
      </c>
      <c r="B28" s="45">
        <f t="shared" ref="B28:M28" si="4">B13+B25</f>
        <v>1333.7748504888887</v>
      </c>
      <c r="C28" s="45">
        <f t="shared" si="4"/>
        <v>2746.5175944355551</v>
      </c>
      <c r="D28" s="45">
        <f t="shared" si="4"/>
        <v>4184.3444939288884</v>
      </c>
      <c r="E28" s="45">
        <f t="shared" si="4"/>
        <v>5676.0551313333326</v>
      </c>
      <c r="F28" s="45">
        <f t="shared" si="4"/>
        <v>8580.5085126844442</v>
      </c>
      <c r="G28" s="45">
        <f t="shared" si="4"/>
        <v>11576.775482435554</v>
      </c>
      <c r="H28" s="45">
        <f t="shared" si="4"/>
        <v>14636.056458222221</v>
      </c>
      <c r="I28" s="45">
        <f t="shared" si="4"/>
        <v>17752.232209742222</v>
      </c>
      <c r="J28" s="45">
        <f t="shared" si="4"/>
        <v>23655.963598666662</v>
      </c>
      <c r="K28" s="45">
        <f t="shared" si="4"/>
        <v>29755.560624995553</v>
      </c>
      <c r="L28" s="45">
        <f t="shared" si="4"/>
        <v>35997.139550817774</v>
      </c>
      <c r="M28" s="45">
        <f t="shared" si="4"/>
        <v>45137.052627688885</v>
      </c>
      <c r="N28" s="44">
        <f>SUM(B28:M28)</f>
        <v>201031.98113544</v>
      </c>
    </row>
    <row r="29" spans="1:14" x14ac:dyDescent="0.25">
      <c r="A29" s="9" t="s">
        <v>315</v>
      </c>
      <c r="B29" s="33">
        <f>Hypothèses!$C$83+Hypothèses!$C$84</f>
        <v>1113.0264</v>
      </c>
      <c r="C29" s="33">
        <f>Hypothèses!$C$83+Hypothèses!$C$84</f>
        <v>1113.0264</v>
      </c>
      <c r="D29" s="33">
        <f>Hypothèses!$C$83+Hypothèses!$C$84</f>
        <v>1113.0264</v>
      </c>
      <c r="E29" s="33">
        <f>Hypothèses!$C$83+Hypothèses!$C$84</f>
        <v>1113.0264</v>
      </c>
      <c r="F29" s="33">
        <f>Hypothèses!$C$83+Hypothèses!$C$84</f>
        <v>1113.0264</v>
      </c>
      <c r="G29" s="33">
        <f>Hypothèses!$C$83+Hypothèses!$C$84</f>
        <v>1113.0264</v>
      </c>
      <c r="H29" s="33">
        <f>Hypothèses!$C$83+Hypothèses!$C$84</f>
        <v>1113.0264</v>
      </c>
      <c r="I29" s="33">
        <f>Hypothèses!$C$83+Hypothèses!$C$84</f>
        <v>1113.0264</v>
      </c>
      <c r="J29" s="33">
        <f>Hypothèses!$C$83+Hypothèses!$C$84</f>
        <v>1113.0264</v>
      </c>
      <c r="K29" s="33">
        <f>Hypothèses!$C$83+Hypothèses!$C$84</f>
        <v>1113.0264</v>
      </c>
      <c r="L29" s="33">
        <f>Hypothèses!$C$83+Hypothèses!$C$84</f>
        <v>1113.0264</v>
      </c>
      <c r="M29" s="33">
        <f>Hypothèses!$C$83+Hypothèses!$C$84</f>
        <v>1113.0264</v>
      </c>
      <c r="N29" s="44">
        <f>SUM(B29:M29)</f>
        <v>13356.316800000002</v>
      </c>
    </row>
    <row r="30" spans="1:14" x14ac:dyDescent="0.25">
      <c r="A30" s="26" t="s">
        <v>316</v>
      </c>
      <c r="B30" s="45">
        <f t="shared" ref="B30:M30" si="5">B28-B29</f>
        <v>220.74845048888869</v>
      </c>
      <c r="C30" s="45">
        <f t="shared" si="5"/>
        <v>1633.4911944355551</v>
      </c>
      <c r="D30" s="45">
        <f t="shared" si="5"/>
        <v>3071.3180939288886</v>
      </c>
      <c r="E30" s="45">
        <f t="shared" si="5"/>
        <v>4563.0287313333329</v>
      </c>
      <c r="F30" s="45">
        <f t="shared" si="5"/>
        <v>7467.4821126844445</v>
      </c>
      <c r="G30" s="45">
        <f t="shared" si="5"/>
        <v>10463.749082435554</v>
      </c>
      <c r="H30" s="45">
        <f t="shared" si="5"/>
        <v>13523.030058222221</v>
      </c>
      <c r="I30" s="45">
        <f t="shared" si="5"/>
        <v>16639.205809742223</v>
      </c>
      <c r="J30" s="45">
        <f t="shared" si="5"/>
        <v>22542.937198666663</v>
      </c>
      <c r="K30" s="45">
        <f t="shared" si="5"/>
        <v>28642.534224995554</v>
      </c>
      <c r="L30" s="45">
        <f t="shared" si="5"/>
        <v>34884.113150817771</v>
      </c>
      <c r="M30" s="45">
        <f t="shared" si="5"/>
        <v>44024.026227688882</v>
      </c>
      <c r="N30" s="44">
        <f>SUM(B30:M30)</f>
        <v>187675.66433543997</v>
      </c>
    </row>
    <row r="31" spans="1:14" x14ac:dyDescent="0.25">
      <c r="A31" s="26" t="s">
        <v>317</v>
      </c>
      <c r="B31" s="44">
        <f>B30</f>
        <v>220.74845048888869</v>
      </c>
      <c r="C31" s="44">
        <f t="shared" ref="C31:M31" si="6">B31+C30</f>
        <v>1854.2396449244438</v>
      </c>
      <c r="D31" s="44">
        <f t="shared" si="6"/>
        <v>4925.5577388533329</v>
      </c>
      <c r="E31" s="44">
        <f t="shared" si="6"/>
        <v>9488.5864701866667</v>
      </c>
      <c r="F31" s="44">
        <f t="shared" si="6"/>
        <v>16956.06858287111</v>
      </c>
      <c r="G31" s="44">
        <f t="shared" si="6"/>
        <v>27419.817665306662</v>
      </c>
      <c r="H31" s="44">
        <f t="shared" si="6"/>
        <v>40942.847723528881</v>
      </c>
      <c r="I31" s="44">
        <f t="shared" si="6"/>
        <v>57582.053533271101</v>
      </c>
      <c r="J31" s="44">
        <f t="shared" si="6"/>
        <v>80124.990731937767</v>
      </c>
      <c r="K31" s="44">
        <f t="shared" si="6"/>
        <v>108767.52495693332</v>
      </c>
      <c r="L31" s="44">
        <f t="shared" si="6"/>
        <v>143651.63810775109</v>
      </c>
      <c r="M31" s="44">
        <f t="shared" si="6"/>
        <v>187675.66433543997</v>
      </c>
      <c r="N31" s="44">
        <f>M31</f>
        <v>187675.66433543997</v>
      </c>
    </row>
    <row r="32" spans="1:14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18" customHeight="1" x14ac:dyDescent="0.25">
      <c r="A33" s="6" t="s">
        <v>318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x14ac:dyDescent="0.25">
      <c r="A34" s="9" t="s">
        <v>319</v>
      </c>
      <c r="B34" s="22">
        <f>IFERROR(MATCH(TRUE,INDEX(B30:M30&gt;=0,0),0),"&gt; 12 mois")</f>
        <v>1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x14ac:dyDescent="0.25">
      <c r="A35" s="9" t="s">
        <v>320</v>
      </c>
      <c r="B35" s="22">
        <f>IF('Coût lunettes'!$B$32&lt;=0,0,ROUNDUP((Hypothèses!$C$83+Hypothèses!$C$84)/'Coût lunettes'!$B$32,0))</f>
        <v>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x14ac:dyDescent="0.25">
      <c r="A36" s="9" t="s">
        <v>321</v>
      </c>
      <c r="B36" s="22">
        <f>IF(Abonnements!$D$15&lt;=0,0,ROUNDUP((Hypothèses!$C$83+Hypothèses!$C$84)/Abonnements!$D$15,0))</f>
        <v>87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x14ac:dyDescent="0.25">
      <c r="A37" s="9" t="s">
        <v>322</v>
      </c>
      <c r="B37" s="33">
        <f>INDEX('Coût lunettes'!B26:E26,MATCH(Hypothèses!$B$9,'Coût lunettes'!B5:E5,0))</f>
        <v>122570.00000000001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x14ac:dyDescent="0.25">
      <c r="A38" s="9" t="s">
        <v>323</v>
      </c>
      <c r="B38" s="33">
        <f>M22*12</f>
        <v>205735.8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Lisez-moi</vt:lpstr>
      <vt:lpstr>Hypothèses</vt:lpstr>
      <vt:lpstr>Coût lunettes</vt:lpstr>
      <vt:lpstr>Coût API par utilisateur</vt:lpstr>
      <vt:lpstr>Abonnements</vt:lpstr>
      <vt:lpstr>Projection 12 mois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freddy miguel</cp:lastModifiedBy>
  <dcterms:created xsi:type="dcterms:W3CDTF">2026-09-03T01:11:12Z</dcterms:created>
  <dcterms:modified xsi:type="dcterms:W3CDTF">2026-09-03T01:11:26Z</dcterms:modified>
</cp:coreProperties>
</file>